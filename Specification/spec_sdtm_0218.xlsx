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M:\Philomed\Statistics\CDISC\Python\Article\Specification\"/>
    </mc:Choice>
  </mc:AlternateContent>
  <xr:revisionPtr revIDLastSave="0" documentId="13_ncr:1_{64489202-76B0-43DB-85E8-E371FDC09D4D}" xr6:coauthVersionLast="47" xr6:coauthVersionMax="47" xr10:uidLastSave="{00000000-0000-0000-0000-000000000000}"/>
  <bookViews>
    <workbookView xWindow="2625" yWindow="3390" windowWidth="34380" windowHeight="14850" activeTab="1" xr2:uid="{00000000-000D-0000-FFFF-FFFF00000000}"/>
  </bookViews>
  <sheets>
    <sheet name="CONTENT" sheetId="1" r:id="rId1"/>
    <sheet name="Foglio1" sheetId="2" r:id="rId2"/>
    <sheet name="DM" sheetId="3" r:id="rId3"/>
    <sheet name="SUPPDM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" i="1" l="1"/>
  <c r="A52" i="1"/>
  <c r="A51" i="1"/>
  <c r="A50" i="1"/>
  <c r="A44" i="1"/>
  <c r="A42" i="1"/>
  <c r="A31" i="1"/>
  <c r="A26" i="1"/>
  <c r="A16" i="1"/>
  <c r="A15" i="1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<sst xmlns="http://schemas.openxmlformats.org/spreadsheetml/2006/main" count="810" uniqueCount="367">
  <si>
    <t>Domain Mapping Specifications</t>
  </si>
  <si>
    <t>Protocol Number:</t>
  </si>
  <si>
    <t>SDTM IG Version:</t>
  </si>
  <si>
    <t>SDTM Domain Description:</t>
  </si>
  <si>
    <t>SDTM Domain Structure:</t>
  </si>
  <si>
    <t>Program Name:</t>
  </si>
  <si>
    <t>General Observation Class:</t>
  </si>
  <si>
    <t xml:space="preserve">Source Data Used: </t>
  </si>
  <si>
    <t>Key Variables:</t>
  </si>
  <si>
    <t>Sort Order:</t>
  </si>
  <si>
    <t>Extract Rule:</t>
  </si>
  <si>
    <t>SDTM Domain Mapping Specifications</t>
  </si>
  <si>
    <t>Protocol</t>
  </si>
  <si>
    <t>3.4</t>
  </si>
  <si>
    <t>SDTM Domain</t>
  </si>
  <si>
    <t>SDTM Domain Description</t>
  </si>
  <si>
    <t>SDTM Domain Structure</t>
  </si>
  <si>
    <t>Program Name</t>
  </si>
  <si>
    <t>General Observation Class</t>
  </si>
  <si>
    <t>Source Data Used</t>
  </si>
  <si>
    <t>Key Variables</t>
  </si>
  <si>
    <t>Sort Order</t>
  </si>
  <si>
    <t>Extract Rule</t>
  </si>
  <si>
    <t>Standard</t>
  </si>
  <si>
    <t>Has No Data</t>
  </si>
  <si>
    <t>Documentation</t>
  </si>
  <si>
    <t>Dependent order</t>
  </si>
  <si>
    <t>AE</t>
  </si>
  <si>
    <t>Adverse Events</t>
  </si>
  <si>
    <t>One record per adverse event per subject</t>
  </si>
  <si>
    <t>ae.sas</t>
  </si>
  <si>
    <t>Events</t>
  </si>
  <si>
    <t>STUDYID, USUBJID, AETERM, AERELNST, AESTDTC, AEENDTC</t>
  </si>
  <si>
    <t>SDTMIG 3.4</t>
  </si>
  <si>
    <t>SUPPAE</t>
  </si>
  <si>
    <t>Supplemental Qualifiers for AE</t>
  </si>
  <si>
    <t>One record per supplemental qualifier per related parent domain record(s)</t>
  </si>
  <si>
    <t>Relationship</t>
  </si>
  <si>
    <t>STUDYID, RDOMAIN, USUBJID, IDVAR, IDVARVAL, QNAM</t>
  </si>
  <si>
    <t>CE</t>
  </si>
  <si>
    <t>Clinical Events</t>
  </si>
  <si>
    <t>One record per event per category per subject</t>
  </si>
  <si>
    <t>ce.sas</t>
  </si>
  <si>
    <t>STUDYID, USUBJID, CECAT, CETERM, CESTDTC</t>
  </si>
  <si>
    <t>CM</t>
  </si>
  <si>
    <t>Concomitant/Prior Medications</t>
  </si>
  <si>
    <t>One record per recorded intervention occurrence or constant-dosing interval per categroy subject</t>
  </si>
  <si>
    <t>cm.sas</t>
  </si>
  <si>
    <t>Interventions</t>
  </si>
  <si>
    <t>STUDYID, USUBJID, CMCAT, CMTRT, CMINDC, CMDOSFRQ, CMSTDTC, CMENDTC, CMSPID, CMDOSE, CMDOSTOT, CMDOSTXT, CMINGRD, CMINDID</t>
  </si>
  <si>
    <t>SUPPCM</t>
  </si>
  <si>
    <t>Supplemental Qualifiers for CM</t>
  </si>
  <si>
    <t>CO</t>
  </si>
  <si>
    <t>Comments</t>
  </si>
  <si>
    <t>One record per comment per subject</t>
  </si>
  <si>
    <t>co.sas</t>
  </si>
  <si>
    <t>Special-Purpose</t>
  </si>
  <si>
    <t>STUDYID, USUBJID, COREF, COVAL, COVAL1, COVAL2, COVAL3</t>
  </si>
  <si>
    <t>CP</t>
  </si>
  <si>
    <t>Cell Phenotype Findings</t>
  </si>
  <si>
    <t>One record per test per visit per subject</t>
  </si>
  <si>
    <t>cp.sas</t>
  </si>
  <si>
    <t>Findings</t>
  </si>
  <si>
    <t>STUDYID, USUBJID, CPTESTCD, VISITNUM, CPDTC</t>
  </si>
  <si>
    <t>SUPPCP</t>
  </si>
  <si>
    <t>Supplemental Qualifiers for CP</t>
  </si>
  <si>
    <t>Cardiovascular System Findings</t>
  </si>
  <si>
    <t>One record per category per finding or result per visit per collection date per subject</t>
  </si>
  <si>
    <t>cv.sas</t>
  </si>
  <si>
    <t>STUDYID, USUBJID, CVCAT, CVTESTCD, VISITNUM, CVDTC</t>
  </si>
  <si>
    <t>Supplemental Qualifiers for CV</t>
  </si>
  <si>
    <t>DM</t>
  </si>
  <si>
    <t>Demographics</t>
  </si>
  <si>
    <t>One record per subject</t>
  </si>
  <si>
    <t>dm.sas</t>
  </si>
  <si>
    <t>STUDYID, USUBJID</t>
  </si>
  <si>
    <t>SUPPDM</t>
  </si>
  <si>
    <t>Supplemental Qualifiers for DM</t>
  </si>
  <si>
    <t>DS</t>
  </si>
  <si>
    <t>Disposition</t>
  </si>
  <si>
    <t>One record per disposition status or protocol milestone per subject</t>
  </si>
  <si>
    <t>ds.sas</t>
  </si>
  <si>
    <t>STUDYID, USUBJID, DSCAT, DSSCAT, DSDECOD, DSTERM, DSSTDTC</t>
  </si>
  <si>
    <t>SUPPDS</t>
  </si>
  <si>
    <t>Supplemental Qualifiers for DS</t>
  </si>
  <si>
    <t>DV</t>
  </si>
  <si>
    <t>Protocol Deviations</t>
  </si>
  <si>
    <t>One record per category per protocol deviation per subject</t>
  </si>
  <si>
    <t>dv.sas</t>
  </si>
  <si>
    <t>STUDYID, USUBJID, DVCAT, DVTERM</t>
  </si>
  <si>
    <t>SUPPDV</t>
  </si>
  <si>
    <t>Supplemental Qualifiers for DV</t>
  </si>
  <si>
    <t>EC</t>
  </si>
  <si>
    <t>Exposure as Collected</t>
  </si>
  <si>
    <t>One record per protocol-specified study treatment, collected-dosing interval, per subject, per mood, per sponsor-defined identifier</t>
  </si>
  <si>
    <t>ec.sas</t>
  </si>
  <si>
    <t>STUDYID, USUBJID, ECTRT, VISITNUM, ECMOOD, ECSTDTC, ECENDTC, ECLNKID</t>
  </si>
  <si>
    <t>SUPPEC</t>
  </si>
  <si>
    <t>Supplemental Qualifiers for EC</t>
  </si>
  <si>
    <t>EG</t>
  </si>
  <si>
    <t>ECG Test Results</t>
  </si>
  <si>
    <t>One record per category per ECG observation per visit per date/time per subject</t>
  </si>
  <si>
    <t>eg.sas</t>
  </si>
  <si>
    <t>STUDYID, USUBJID, EGCAT, EGTESTCD, VISITNUM, EGDTC</t>
  </si>
  <si>
    <t>Supplemental Qualifiers for EG</t>
  </si>
  <si>
    <t>EX</t>
  </si>
  <si>
    <t>Exposure</t>
  </si>
  <si>
    <t>One record per protocol-specified study treatment, constant-dosing interval, per subject</t>
  </si>
  <si>
    <t>ex.sas</t>
  </si>
  <si>
    <t>STUDYID, USUBJID, EXTRT, EXSTDTC</t>
  </si>
  <si>
    <t>GF</t>
  </si>
  <si>
    <t>Genomics Findings</t>
  </si>
  <si>
    <t>One record per finding per category per time point per subject</t>
  </si>
  <si>
    <t>gf.sas</t>
  </si>
  <si>
    <t>STUDYID, USUBJID, GFCAT, GFTESTCD, VISITNUM, GFDTC</t>
  </si>
  <si>
    <t>SUPPGF</t>
  </si>
  <si>
    <t>Supplemental Qualifiers for GF</t>
  </si>
  <si>
    <t>IE</t>
  </si>
  <si>
    <t>Inclusion/Exclusion Criteria Not Met</t>
  </si>
  <si>
    <t>One record per inclusion/exclusion criterion not met per subject</t>
  </si>
  <si>
    <t>ie.sas</t>
  </si>
  <si>
    <t>STUDYID, USUBJID, IETESTCD</t>
  </si>
  <si>
    <t>Supplemental Qualifiers for IE</t>
  </si>
  <si>
    <t>LB</t>
  </si>
  <si>
    <t>Laboratory Test Results</t>
  </si>
  <si>
    <t>One record per category per subcategory per lab test per visit per date/time per subject</t>
  </si>
  <si>
    <t>lb.sas</t>
  </si>
  <si>
    <t>STUDYID, USUBJID, LBCAT, LBTESTCD, VISITNUM, LBDTC, LBSCAT, LBSPID, LBREASND</t>
  </si>
  <si>
    <t>SUPPLB</t>
  </si>
  <si>
    <t>Supplemental Qualifiers for LB</t>
  </si>
  <si>
    <t>LC</t>
  </si>
  <si>
    <t>Laboratory Results in Conventional Unit</t>
  </si>
  <si>
    <t>lc.sas</t>
  </si>
  <si>
    <t>STUDYID, USUBJID, LCCAT, LCTESTCD, VISITNUM, LCDTC, LCSCAT, LCSPID, LCREASND</t>
  </si>
  <si>
    <t>SUPPLC</t>
  </si>
  <si>
    <t>Supplemental Qualifiers for LC</t>
  </si>
  <si>
    <t>MB</t>
  </si>
  <si>
    <t>Microbiology Specimen</t>
  </si>
  <si>
    <t>One record per microbiology specimen finding per time point per visit per subject</t>
  </si>
  <si>
    <t>mb.sas</t>
  </si>
  <si>
    <t>STUDYID, USUBJID, MBCAT, MBTESTCD, VISITNUM, MBDTC</t>
  </si>
  <si>
    <t>SUPPMB</t>
  </si>
  <si>
    <t>Supplemental Qualifiers for MB</t>
  </si>
  <si>
    <t>MH</t>
  </si>
  <si>
    <t>Medical History</t>
  </si>
  <si>
    <t>One record per medical history event per category per subject</t>
  </si>
  <si>
    <t>mh.sas</t>
  </si>
  <si>
    <t>STUDYID, USUBJID, MHCAT, MHTERM, MHDECOD, VISITNUM, MHSTDTC, MHENDTC</t>
  </si>
  <si>
    <t>SUPPMH</t>
  </si>
  <si>
    <t>Supplemental Qualifiers for MH</t>
  </si>
  <si>
    <t>MI</t>
  </si>
  <si>
    <t>Microscopic Findings</t>
  </si>
  <si>
    <t>One record per finding per specimen per category per subject</t>
  </si>
  <si>
    <t>mi.sas</t>
  </si>
  <si>
    <t>STUDYID, USUBJID, MICAT, MITESTCD, MILOC, MILNKID, MISPID, VISITNUM, MIDTC</t>
  </si>
  <si>
    <t>PE</t>
  </si>
  <si>
    <t>Physical Examination</t>
  </si>
  <si>
    <t>One record per body system or abnormality per visit per date/time per identifier per subject</t>
  </si>
  <si>
    <t>pe.sas</t>
  </si>
  <si>
    <t>STUDYID, USUBJID, PETESTCD, VISITNUM, PEDTC, PESPID, PEGRPID, PEREFID, PEORRES</t>
  </si>
  <si>
    <t>Supplemental Qualifiers for PE</t>
  </si>
  <si>
    <t>PR</t>
  </si>
  <si>
    <t>Procedures</t>
  </si>
  <si>
    <t>One record per recorded procedure per occurrence per subject</t>
  </si>
  <si>
    <t>pr.sas</t>
  </si>
  <si>
    <t>STUDYID, USUBJID, PRCAT, PRTRT, PRINDC, PRSTDTC, PRSPID, PRLOC</t>
  </si>
  <si>
    <t>Supplemental Qualifiers for PR</t>
  </si>
  <si>
    <t>RP</t>
  </si>
  <si>
    <t>Reproductive System Findings</t>
  </si>
  <si>
    <t>One record per finding or result per time point per visit per subject</t>
  </si>
  <si>
    <t>rp.sas</t>
  </si>
  <si>
    <t>STUDYID, USUBJID, RPTESTCD, VISITNUM</t>
  </si>
  <si>
    <t>SUPPRP</t>
  </si>
  <si>
    <t>Supplemental Qualifiers for RP</t>
  </si>
  <si>
    <t>RS</t>
  </si>
  <si>
    <t>Disease Response and Clin Classification</t>
  </si>
  <si>
    <t>One record per category per subcategory per sponsor-defined identifier per response assessment or clinical classification assessment per visit per assessment date per subject</t>
  </si>
  <si>
    <t>rs.sas</t>
  </si>
  <si>
    <t>STUDYID, USUBJID, RSCAT, RSSCAT, RSTESTCD, VISITNUM, RSDTC, RSSPID</t>
  </si>
  <si>
    <t>SUPPRS</t>
  </si>
  <si>
    <t>Supplemental Qualifiers for RS</t>
  </si>
  <si>
    <t>SE</t>
  </si>
  <si>
    <t>Subject Elements</t>
  </si>
  <si>
    <t>One record per actual element per subject</t>
  </si>
  <si>
    <t>se.sas</t>
  </si>
  <si>
    <t>STUDYID, USUBJID, TAETORD, ETCD, SESTDTC</t>
  </si>
  <si>
    <t>Subject Status</t>
  </si>
  <si>
    <t>One record per status per contact date per subject</t>
  </si>
  <si>
    <t>ss.sas</t>
  </si>
  <si>
    <t>STUDYID, USUBJID, SSTESTCD, SSDTC, SSCOM</t>
  </si>
  <si>
    <t>Supplemental Qualifiers for SS</t>
  </si>
  <si>
    <t>Subject Visits</t>
  </si>
  <si>
    <t>One record per actual or planned visit per subject</t>
  </si>
  <si>
    <t>sv.sas</t>
  </si>
  <si>
    <t>STUDYID, USUBJID, VISITNUM</t>
  </si>
  <si>
    <t>Supplemental Qualifiers for SV</t>
  </si>
  <si>
    <t>TA</t>
  </si>
  <si>
    <t>Trial Arms</t>
  </si>
  <si>
    <t>One record per planned element per arm</t>
  </si>
  <si>
    <t>ta.sas</t>
  </si>
  <si>
    <t>Trial Design</t>
  </si>
  <si>
    <t>STUDYID, ARMCD, TAETORD</t>
  </si>
  <si>
    <t>TE</t>
  </si>
  <si>
    <t>Trial Elements</t>
  </si>
  <si>
    <t>One record per planned element</t>
  </si>
  <si>
    <t>te.sas</t>
  </si>
  <si>
    <t>STUDYID, ETCD</t>
  </si>
  <si>
    <t>TI</t>
  </si>
  <si>
    <t>Trial Inclusion/Exclusion Criteria</t>
  </si>
  <si>
    <t>One record per I/E criterion</t>
  </si>
  <si>
    <t>ti.sas</t>
  </si>
  <si>
    <t>STUDYID, IETESTCD, TIVERS</t>
  </si>
  <si>
    <t>TR</t>
  </si>
  <si>
    <t>Tumor/Lesion Results</t>
  </si>
  <si>
    <t>One record per tumor measurement/assessment per visit per measurement date per link ID per subject</t>
  </si>
  <si>
    <t>tr.sas</t>
  </si>
  <si>
    <t>STUDYID, USUBJID, TRTESTCD, VISITNUM, TRDTC, TRLNKID</t>
  </si>
  <si>
    <t>SUPPTR</t>
  </si>
  <si>
    <t>Supplemental Qualifiers for TR</t>
  </si>
  <si>
    <t>TS</t>
  </si>
  <si>
    <t>Trial Summary</t>
  </si>
  <si>
    <t>One record per trial summary parameter value</t>
  </si>
  <si>
    <t>ts.sas</t>
  </si>
  <si>
    <t>STUDYID, TSPARMCD, TSSEQ</t>
  </si>
  <si>
    <t>TU</t>
  </si>
  <si>
    <t>Tumor/Lesion Identification</t>
  </si>
  <si>
    <t>One record per identified tumor per visit per link ID per subject</t>
  </si>
  <si>
    <t>tu.sas</t>
  </si>
  <si>
    <t>STUDYID, USUBJID, TUTESTCD, VISITNUM, TULNKID</t>
  </si>
  <si>
    <t>SUPPTU</t>
  </si>
  <si>
    <t>Supplemental Qualifiers for TU</t>
  </si>
  <si>
    <t>TV</t>
  </si>
  <si>
    <t>Trial Visits</t>
  </si>
  <si>
    <t>One record per planned visit per arm</t>
  </si>
  <si>
    <t>tv.sas</t>
  </si>
  <si>
    <t>STUDYID, VISITNUM, ARMCD</t>
  </si>
  <si>
    <t>VS</t>
  </si>
  <si>
    <t>Vital Signs</t>
  </si>
  <si>
    <t>One record per vital sign measurement per time point per visit per subject</t>
  </si>
  <si>
    <t>vs.sas</t>
  </si>
  <si>
    <t>STUDYID, USUBJID, VSTESTCD, VISITNUM, VSTPTNUM, VSDTC, VSORRES</t>
  </si>
  <si>
    <t>RELREC</t>
  </si>
  <si>
    <t>Related Records</t>
  </si>
  <si>
    <t>One record per related record, group of records or dataset</t>
  </si>
  <si>
    <t>relrec.sas</t>
  </si>
  <si>
    <t>STUDYID, USUBJID, RELID, RDOMAIN, IDVAR, IDVARVAL</t>
  </si>
  <si>
    <t>CODELIST</t>
  </si>
  <si>
    <t>Variable</t>
  </si>
  <si>
    <t>Type</t>
  </si>
  <si>
    <t>Len</t>
  </si>
  <si>
    <t>Format</t>
  </si>
  <si>
    <t>Label</t>
  </si>
  <si>
    <t>Origin</t>
  </si>
  <si>
    <t>Source</t>
  </si>
  <si>
    <t>Core</t>
  </si>
  <si>
    <t>Variable Type</t>
  </si>
  <si>
    <t>Variable Order</t>
  </si>
  <si>
    <t>Conversion Definition</t>
  </si>
  <si>
    <t>STUDYID</t>
  </si>
  <si>
    <t>Char</t>
  </si>
  <si>
    <t>Study Identifier</t>
  </si>
  <si>
    <t>Sponsor</t>
  </si>
  <si>
    <t>Req</t>
  </si>
  <si>
    <t>SDTM</t>
  </si>
  <si>
    <t>Set to Clinical Study B</t>
  </si>
  <si>
    <t>DOMAIN</t>
  </si>
  <si>
    <t>Domain Abbreviation</t>
  </si>
  <si>
    <t>Assigned</t>
  </si>
  <si>
    <t>DM.MODULE</t>
  </si>
  <si>
    <t>USUBJID</t>
  </si>
  <si>
    <t>Unique Subject Identifier</t>
  </si>
  <si>
    <t>Derived</t>
  </si>
  <si>
    <t>Concatenate STUDYID, SITEID and SUBJID by '-'</t>
  </si>
  <si>
    <t>SUBJID</t>
  </si>
  <si>
    <t>Subject Identifier for the Study</t>
  </si>
  <si>
    <t>DM.PATNO</t>
  </si>
  <si>
    <t>RFSTDTC</t>
  </si>
  <si>
    <t>ISO 8601 datetime</t>
  </si>
  <si>
    <t>Subject Reference Start Date/Time</t>
  </si>
  <si>
    <t>Exp</t>
  </si>
  <si>
    <t>RFENDTC</t>
  </si>
  <si>
    <t>Subject Reference End Date/Time</t>
  </si>
  <si>
    <t>RFXSTDTC</t>
  </si>
  <si>
    <t>Date/Time of First Study Treatment</t>
  </si>
  <si>
    <t>RFXENDTC</t>
  </si>
  <si>
    <t>Date/Time of Last Study Treatment</t>
  </si>
  <si>
    <t>AGEU</t>
  </si>
  <si>
    <t>C66781</t>
  </si>
  <si>
    <t>Age Units</t>
  </si>
  <si>
    <t>Set to 'YEARS'</t>
  </si>
  <si>
    <t>RFICDTC</t>
  </si>
  <si>
    <t>Date/Time of Informed Consent</t>
  </si>
  <si>
    <t>Collected</t>
  </si>
  <si>
    <t>Investigator</t>
  </si>
  <si>
    <t>DM.DSSTMO_N, DM.DSSTDY, DM.DSSTYR</t>
  </si>
  <si>
    <t>RFPENDTC</t>
  </si>
  <si>
    <t>Date/Time of End of Participation</t>
  </si>
  <si>
    <t>DTHDTC</t>
  </si>
  <si>
    <t>Date/Time of Death</t>
  </si>
  <si>
    <t>DTHFL</t>
  </si>
  <si>
    <t>C66742</t>
  </si>
  <si>
    <t>Subject Death Flag</t>
  </si>
  <si>
    <t>SITEID</t>
  </si>
  <si>
    <t>Study Site Identifier</t>
  </si>
  <si>
    <t>BRTHDTC</t>
  </si>
  <si>
    <t>Date/Time of Birth</t>
  </si>
  <si>
    <t>Perm</t>
  </si>
  <si>
    <t>DM.BRTHMO_N, DM.BRTHDY, DM.BRTHYR</t>
  </si>
  <si>
    <t>AGE</t>
  </si>
  <si>
    <t>Num</t>
  </si>
  <si>
    <t>Age</t>
  </si>
  <si>
    <t>DM.AGE</t>
  </si>
  <si>
    <t>SEX</t>
  </si>
  <si>
    <t>C66731</t>
  </si>
  <si>
    <t>Sex</t>
  </si>
  <si>
    <t>DM.SEX</t>
  </si>
  <si>
    <t>RACE</t>
  </si>
  <si>
    <t>C74457</t>
  </si>
  <si>
    <t>Race</t>
  </si>
  <si>
    <t>DM.RACE</t>
  </si>
  <si>
    <t>ETHNIC</t>
  </si>
  <si>
    <t>C66790</t>
  </si>
  <si>
    <t>Ethnicity</t>
  </si>
  <si>
    <t>DM.ETHNIC</t>
  </si>
  <si>
    <t>ARMCD</t>
  </si>
  <si>
    <t>Planned Arm Code</t>
  </si>
  <si>
    <t>ARM</t>
  </si>
  <si>
    <t>Description of Planned Arm</t>
  </si>
  <si>
    <t>ACTARMCD</t>
  </si>
  <si>
    <t>Actual Arm Code</t>
  </si>
  <si>
    <t>ACTARM</t>
  </si>
  <si>
    <t>Description of Actual Arm</t>
  </si>
  <si>
    <t>ARMNRS</t>
  </si>
  <si>
    <t>C142179</t>
  </si>
  <si>
    <t>Reason Arm and/or Actual Arm is Null</t>
  </si>
  <si>
    <t>ACTARMUD</t>
  </si>
  <si>
    <t>Description of Unplanned Actual Arm</t>
  </si>
  <si>
    <t>COUNTRY</t>
  </si>
  <si>
    <t>Country</t>
  </si>
  <si>
    <t>DMDTC</t>
  </si>
  <si>
    <t>Date/Time of Collection</t>
  </si>
  <si>
    <t>DM.DMMO_N, DM._CLIENT_TIMESTAMP, DM.DMDY, DM.DMYR</t>
  </si>
  <si>
    <t>DMDY</t>
  </si>
  <si>
    <t>Study Day of Collection</t>
  </si>
  <si>
    <t>DMCOHORT</t>
  </si>
  <si>
    <t>Cohort</t>
  </si>
  <si>
    <t>SUPP</t>
  </si>
  <si>
    <t>IE.COHORT</t>
  </si>
  <si>
    <t>RACEOTH</t>
  </si>
  <si>
    <t>DM.RACEOTH</t>
  </si>
  <si>
    <t>RDOMAIN</t>
  </si>
  <si>
    <t>Related Domain Abbreviation</t>
  </si>
  <si>
    <t>Set to DM</t>
  </si>
  <si>
    <t>IDVAR</t>
  </si>
  <si>
    <t>Identifying Variable</t>
  </si>
  <si>
    <t>SDTM.DM USUBJID</t>
  </si>
  <si>
    <t>IDVARVAL</t>
  </si>
  <si>
    <t>Identifying Variable Value</t>
  </si>
  <si>
    <t>QNAM</t>
  </si>
  <si>
    <t>Qualifier Variable Name</t>
  </si>
  <si>
    <t>QLABEL</t>
  </si>
  <si>
    <t>Qualifier Variable Label</t>
  </si>
  <si>
    <t>QVAL</t>
  </si>
  <si>
    <t>Data Value</t>
  </si>
  <si>
    <t>QORIG</t>
  </si>
  <si>
    <t>QEVAL</t>
  </si>
  <si>
    <t>Evaluator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</si>
</sst>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2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color indexed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u/>
      <sz val="11"/>
      <color theme="10"/>
      <name val="Aptos Narrow"/>
      <family val="2"/>
      <scheme val="minor"/>
    </font>
    <font>
      <b/>
      <sz val="8"/>
      <color indexed="8"/>
      <name val="Arial"/>
      <family val="2"/>
    </font>
    <font>
      <u/>
      <sz val="8"/>
      <color indexed="12"/>
      <name val="Arial"/>
      <family val="2"/>
    </font>
    <font>
      <sz val="8"/>
      <color theme="1"/>
      <name val="Arial"/>
      <family val="2"/>
    </font>
    <font>
      <sz val="9"/>
      <name val="宋体"/>
      <charset val="134"/>
    </font>
    <font>
      <sz val="8"/>
      <color indexed="8"/>
      <name val="Arial"/>
      <family val="2"/>
    </font>
    <font>
      <b/>
      <sz val="11"/>
      <name val="Aptos Narrow"/>
    </font>
  </fonts>
  <fills count="5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4" fontId="1" fillId="0" borderId="0"/>
    <xf numFmtId="0" fontId="5" fillId="0" borderId="0"/>
    <xf numFmtId="164" fontId="9" fillId="0" borderId="0">
      <alignment vertical="center"/>
    </xf>
    <xf numFmtId="164" fontId="1" fillId="0" borderId="0"/>
  </cellStyleXfs>
  <cellXfs count="63">
    <xf numFmtId="0" fontId="0" fillId="0" borderId="0" xfId="0"/>
    <xf numFmtId="0" fontId="4" fillId="0" borderId="5" xfId="1" applyNumberFormat="1" applyFont="1" applyBorder="1" applyAlignment="1">
      <alignment horizontal="left" vertical="center" wrapText="1"/>
    </xf>
    <xf numFmtId="0" fontId="4" fillId="0" borderId="0" xfId="1" applyNumberFormat="1" applyFont="1" applyAlignment="1">
      <alignment vertical="center"/>
    </xf>
    <xf numFmtId="0" fontId="3" fillId="3" borderId="5" xfId="1" applyNumberFormat="1" applyFont="1" applyFill="1" applyBorder="1" applyAlignment="1">
      <alignment vertical="center"/>
    </xf>
    <xf numFmtId="0" fontId="4" fillId="0" borderId="5" xfId="1" applyNumberFormat="1" applyFont="1" applyBorder="1" applyAlignment="1" applyProtection="1">
      <alignment vertical="center"/>
      <protection locked="0"/>
    </xf>
    <xf numFmtId="0" fontId="4" fillId="0" borderId="5" xfId="1" applyNumberFormat="1" applyFont="1" applyBorder="1" applyAlignment="1" applyProtection="1">
      <alignment horizontal="left" vertical="center"/>
      <protection locked="0"/>
    </xf>
    <xf numFmtId="0" fontId="6" fillId="3" borderId="5" xfId="1" applyNumberFormat="1" applyFont="1" applyFill="1" applyBorder="1" applyAlignment="1">
      <alignment horizontal="left" vertical="center" wrapText="1"/>
    </xf>
    <xf numFmtId="0" fontId="6" fillId="3" borderId="5" xfId="1" applyNumberFormat="1" applyFont="1" applyFill="1" applyBorder="1" applyAlignment="1">
      <alignment horizontal="center" vertical="center" wrapText="1"/>
    </xf>
    <xf numFmtId="0" fontId="6" fillId="3" borderId="7" xfId="1" applyNumberFormat="1" applyFont="1" applyFill="1" applyBorder="1" applyAlignment="1">
      <alignment horizontal="center" vertical="center" wrapText="1"/>
    </xf>
    <xf numFmtId="0" fontId="6" fillId="3" borderId="4" xfId="1" applyNumberFormat="1" applyFont="1" applyFill="1" applyBorder="1" applyAlignment="1">
      <alignment horizontal="center" vertical="center" wrapText="1"/>
    </xf>
    <xf numFmtId="0" fontId="7" fillId="0" borderId="5" xfId="2" applyFont="1" applyBorder="1" applyAlignment="1" applyProtection="1">
      <alignment horizontal="left" vertical="center" wrapText="1"/>
      <protection locked="0"/>
    </xf>
    <xf numFmtId="0" fontId="4" fillId="0" borderId="5" xfId="1" applyNumberFormat="1" applyFont="1" applyBorder="1" applyAlignment="1" applyProtection="1">
      <alignment horizontal="left" vertical="center" wrapText="1"/>
      <protection locked="0"/>
    </xf>
    <xf numFmtId="0" fontId="8" fillId="0" borderId="2" xfId="1" applyNumberFormat="1" applyFont="1" applyBorder="1" applyAlignment="1" applyProtection="1">
      <alignment horizontal="left" vertical="center" wrapText="1"/>
      <protection locked="0"/>
    </xf>
    <xf numFmtId="0" fontId="8" fillId="0" borderId="5" xfId="1" applyNumberFormat="1" applyFont="1" applyBorder="1" applyAlignment="1">
      <alignment horizontal="left" vertical="center" wrapText="1"/>
    </xf>
    <xf numFmtId="0" fontId="8" fillId="0" borderId="6" xfId="1" applyNumberFormat="1" applyFont="1" applyBorder="1" applyAlignment="1" applyProtection="1">
      <alignment horizontal="left" vertical="center" wrapText="1"/>
      <protection locked="0"/>
    </xf>
    <xf numFmtId="0" fontId="8" fillId="0" borderId="5" xfId="1" applyNumberFormat="1" applyFont="1" applyBorder="1" applyAlignment="1" applyProtection="1">
      <alignment horizontal="left" vertical="center" wrapText="1"/>
      <protection locked="0"/>
    </xf>
    <xf numFmtId="0" fontId="8" fillId="0" borderId="5" xfId="1" applyNumberFormat="1" applyFont="1" applyBorder="1" applyAlignment="1">
      <alignment vertical="center" wrapText="1"/>
    </xf>
    <xf numFmtId="0" fontId="4" fillId="0" borderId="5" xfId="1" applyNumberFormat="1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4" fillId="0" borderId="8" xfId="1" applyNumberFormat="1" applyFont="1" applyBorder="1" applyAlignment="1" applyProtection="1">
      <alignment horizontal="left" vertical="center" wrapText="1"/>
      <protection locked="0"/>
    </xf>
    <xf numFmtId="164" fontId="4" fillId="0" borderId="5" xfId="1" applyFont="1" applyBorder="1" applyAlignment="1" applyProtection="1">
      <alignment horizontal="left" vertical="center" wrapText="1"/>
      <protection locked="0"/>
    </xf>
    <xf numFmtId="164" fontId="8" fillId="0" borderId="5" xfId="1" applyFont="1" applyBorder="1" applyAlignment="1" applyProtection="1">
      <alignment horizontal="left" vertical="center" wrapText="1"/>
      <protection locked="0"/>
    </xf>
    <xf numFmtId="164" fontId="8" fillId="0" borderId="6" xfId="1" applyFont="1" applyBorder="1" applyAlignment="1" applyProtection="1">
      <alignment horizontal="left" vertical="center" wrapText="1"/>
      <protection locked="0"/>
    </xf>
    <xf numFmtId="164" fontId="8" fillId="0" borderId="5" xfId="1" applyFont="1" applyBorder="1" applyAlignment="1">
      <alignment vertical="center" wrapText="1"/>
    </xf>
    <xf numFmtId="0" fontId="7" fillId="0" borderId="0" xfId="2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8" fillId="0" borderId="9" xfId="1" applyNumberFormat="1" applyFont="1" applyBorder="1" applyAlignment="1" applyProtection="1">
      <alignment horizontal="left" vertical="center" wrapText="1"/>
      <protection locked="0"/>
    </xf>
    <xf numFmtId="0" fontId="8" fillId="0" borderId="9" xfId="1" applyNumberFormat="1" applyFont="1" applyBorder="1" applyAlignment="1">
      <alignment vertical="center" wrapText="1"/>
    </xf>
    <xf numFmtId="0" fontId="8" fillId="0" borderId="10" xfId="1" applyNumberFormat="1" applyFont="1" applyBorder="1" applyAlignment="1" applyProtection="1">
      <alignment horizontal="left" vertical="center" wrapText="1"/>
      <protection locked="0"/>
    </xf>
    <xf numFmtId="0" fontId="8" fillId="0" borderId="5" xfId="1" applyNumberFormat="1" applyFont="1" applyBorder="1" applyAlignment="1" applyProtection="1">
      <alignment vertical="center" wrapText="1"/>
      <protection locked="0"/>
    </xf>
    <xf numFmtId="0" fontId="8" fillId="0" borderId="2" xfId="1" applyNumberFormat="1" applyFont="1" applyBorder="1" applyAlignment="1" applyProtection="1">
      <alignment vertical="center" wrapText="1"/>
      <protection locked="0"/>
    </xf>
    <xf numFmtId="0" fontId="4" fillId="0" borderId="11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7" fillId="0" borderId="0" xfId="2" applyFont="1" applyAlignment="1">
      <alignment horizontal="left" vertical="center" wrapText="1"/>
    </xf>
    <xf numFmtId="0" fontId="4" fillId="0" borderId="9" xfId="1" applyNumberFormat="1" applyFont="1" applyBorder="1" applyAlignment="1" applyProtection="1">
      <alignment horizontal="left" vertical="center" wrapText="1"/>
      <protection locked="0"/>
    </xf>
    <xf numFmtId="0" fontId="8" fillId="0" borderId="0" xfId="1" applyNumberFormat="1" applyFont="1" applyAlignment="1" applyProtection="1">
      <alignment horizontal="left" vertical="center" wrapText="1"/>
      <protection locked="0"/>
    </xf>
    <xf numFmtId="0" fontId="8" fillId="0" borderId="0" xfId="1" applyNumberFormat="1" applyFont="1" applyAlignment="1">
      <alignment vertical="center" wrapText="1"/>
    </xf>
    <xf numFmtId="0" fontId="8" fillId="0" borderId="5" xfId="3" applyNumberFormat="1" applyFont="1" applyBorder="1" applyAlignment="1" applyProtection="1">
      <alignment horizontal="left" vertical="center" wrapText="1"/>
      <protection locked="0"/>
    </xf>
    <xf numFmtId="0" fontId="8" fillId="0" borderId="5" xfId="0" applyFont="1" applyBorder="1" applyAlignment="1">
      <alignment vertical="center" wrapText="1"/>
    </xf>
    <xf numFmtId="0" fontId="7" fillId="0" borderId="5" xfId="2" applyFont="1" applyBorder="1" applyAlignment="1" applyProtection="1">
      <alignment vertical="center"/>
      <protection locked="0"/>
    </xf>
    <xf numFmtId="0" fontId="4" fillId="0" borderId="5" xfId="4" applyNumberFormat="1" applyFont="1" applyBorder="1" applyAlignment="1" applyProtection="1">
      <alignment horizontal="left" vertical="center" wrapText="1"/>
      <protection locked="0"/>
    </xf>
    <xf numFmtId="0" fontId="8" fillId="0" borderId="5" xfId="4" applyNumberFormat="1" applyFont="1" applyBorder="1" applyAlignment="1" applyProtection="1">
      <alignment horizontal="left" vertical="center" wrapText="1"/>
      <protection locked="0"/>
    </xf>
    <xf numFmtId="0" fontId="8" fillId="0" borderId="5" xfId="1" quotePrefix="1" applyNumberFormat="1" applyFont="1" applyBorder="1" applyAlignment="1">
      <alignment vertical="center" wrapText="1"/>
    </xf>
    <xf numFmtId="0" fontId="7" fillId="0" borderId="5" xfId="2" applyFont="1" applyBorder="1" applyAlignment="1" applyProtection="1">
      <alignment vertical="center" wrapText="1"/>
      <protection locked="0"/>
    </xf>
    <xf numFmtId="0" fontId="8" fillId="0" borderId="5" xfId="4" quotePrefix="1" applyNumberFormat="1" applyFont="1" applyBorder="1" applyAlignment="1" applyProtection="1">
      <alignment horizontal="left" vertical="center" wrapText="1"/>
      <protection locked="0"/>
    </xf>
    <xf numFmtId="0" fontId="4" fillId="0" borderId="2" xfId="4" applyNumberFormat="1" applyFont="1" applyBorder="1" applyAlignment="1" applyProtection="1">
      <alignment horizontal="left" vertical="center" wrapText="1"/>
      <protection locked="0"/>
    </xf>
    <xf numFmtId="0" fontId="8" fillId="0" borderId="0" xfId="4" applyNumberFormat="1" applyFont="1" applyAlignment="1">
      <alignment vertical="center" wrapText="1"/>
    </xf>
    <xf numFmtId="0" fontId="7" fillId="0" borderId="5" xfId="2" applyFont="1" applyBorder="1" applyAlignment="1">
      <alignment horizontal="left" vertical="center" wrapText="1"/>
    </xf>
    <xf numFmtId="0" fontId="7" fillId="0" borderId="0" xfId="2" applyFont="1" applyAlignment="1" applyProtection="1">
      <alignment vertical="center"/>
      <protection locked="0"/>
    </xf>
    <xf numFmtId="0" fontId="3" fillId="0" borderId="0" xfId="1" applyNumberFormat="1" applyFont="1" applyAlignment="1">
      <alignment vertical="center"/>
    </xf>
    <xf numFmtId="0" fontId="10" fillId="0" borderId="0" xfId="1" applyNumberFormat="1" applyFont="1" applyAlignment="1">
      <alignment vertical="center"/>
    </xf>
    <xf numFmtId="0" fontId="6" fillId="0" borderId="0" xfId="1" applyNumberFormat="1" applyFont="1" applyAlignment="1">
      <alignment vertical="center"/>
    </xf>
    <xf numFmtId="0" fontId="11" fillId="0" borderId="12" xfId="0" applyFont="1" applyBorder="1" applyAlignment="1">
      <alignment horizontal="center" vertical="top"/>
    </xf>
    <xf numFmtId="0" fontId="4" fillId="0" borderId="5" xfId="1" applyNumberFormat="1" applyFont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3" fillId="3" borderId="5" xfId="1" applyNumberFormat="1" applyFont="1" applyFill="1" applyBorder="1" applyAlignment="1">
      <alignment horizontal="left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0" fillId="0" borderId="0" xfId="0"/>
    <xf numFmtId="0" fontId="2" fillId="4" borderId="2" xfId="1" applyNumberFormat="1" applyFont="1" applyFill="1" applyBorder="1" applyAlignment="1">
      <alignment vertical="center"/>
    </xf>
    <xf numFmtId="0" fontId="4" fillId="0" borderId="3" xfId="1" applyNumberFormat="1" applyFont="1" applyBorder="1" applyAlignment="1">
      <alignment vertical="center"/>
    </xf>
    <xf numFmtId="0" fontId="4" fillId="0" borderId="0" xfId="1" applyNumberFormat="1" applyFont="1" applyAlignment="1">
      <alignment vertical="center"/>
    </xf>
  </cellXfs>
  <cellStyles count="5">
    <cellStyle name="Collegamento ipertestuale" xfId="2" builtinId="8"/>
    <cellStyle name="Normal 2" xfId="1" xr:uid="{00000000-0005-0000-0000-000001000000}"/>
    <cellStyle name="Normal_CONTENT" xfId="4" xr:uid="{00000000-0005-0000-0000-000004000000}"/>
    <cellStyle name="Normale" xfId="0" builtinId="0"/>
    <cellStyle name="常规_CONTENT_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llegamentoEsternoRipristinat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Revision History"/>
      <sheetName val="AE"/>
      <sheetName val="SUPPAE"/>
      <sheetName val="CE"/>
      <sheetName val="CM"/>
      <sheetName val="SUPPCM"/>
      <sheetName val="CM Value Level Metadata"/>
      <sheetName val="CO"/>
      <sheetName val="CP"/>
      <sheetName val="SUPPCP"/>
      <sheetName val="CP Value Level Metadata"/>
      <sheetName val="CV"/>
      <sheetName val="SUPPCV"/>
      <sheetName val="DM"/>
      <sheetName val="SUPPDM"/>
      <sheetName val="DS"/>
      <sheetName val="SUPPDS"/>
      <sheetName val="DS Value Level Metadata"/>
      <sheetName val="DV"/>
      <sheetName val="SUPPDV"/>
      <sheetName val="EC"/>
      <sheetName val="SUPPEC"/>
      <sheetName val="EC Value Level Metadata"/>
      <sheetName val="EG"/>
      <sheetName val="SUPPEG"/>
      <sheetName val="EG Value Level Metadata"/>
      <sheetName val="EX"/>
      <sheetName val="GF"/>
      <sheetName val="SUPPGF"/>
      <sheetName val="GF Value Level Metadata"/>
      <sheetName val="IE"/>
      <sheetName val="SUPPIE"/>
      <sheetName val="LB"/>
      <sheetName val="SUPPLB"/>
      <sheetName val="LB Value Level Metadata"/>
      <sheetName val="LB_Unit"/>
      <sheetName val="ADLE_Split_LB_MB_MI_GF"/>
      <sheetName val="LC"/>
      <sheetName val="SUPPLC"/>
      <sheetName val="MB"/>
      <sheetName val="SUPPMB"/>
      <sheetName val="MB Value Level Metadata"/>
      <sheetName val="MH"/>
      <sheetName val="SUPPMH"/>
      <sheetName val="MI"/>
      <sheetName val="MI Value Level Metadata"/>
      <sheetName val="PE"/>
      <sheetName val="SUPPPE"/>
      <sheetName val="PE Value Level Metadata"/>
      <sheetName val="PR"/>
      <sheetName val="SUPPPR"/>
      <sheetName val="PR Value Level Metadata"/>
      <sheetName val="RP"/>
      <sheetName val="SUPPRP"/>
      <sheetName val="RS"/>
      <sheetName val="SUPPRS"/>
      <sheetName val="RS Value Level Metadata"/>
      <sheetName val="SE"/>
      <sheetName val="SE Value Level Metadata"/>
      <sheetName val="SS"/>
      <sheetName val="SUPPSS"/>
      <sheetName val="SV"/>
      <sheetName val="SUPPSV"/>
      <sheetName val="TA"/>
      <sheetName val="TA Value Level Metadata"/>
      <sheetName val="TE"/>
      <sheetName val="TE Value Level Metadata"/>
      <sheetName val="TI"/>
      <sheetName val="TI Value Level Metadata"/>
      <sheetName val="TR"/>
      <sheetName val="SUPPTR"/>
      <sheetName val="TR Value Level Metadata"/>
      <sheetName val="TS"/>
      <sheetName val="TS Value Level Metadata"/>
      <sheetName val="TU"/>
      <sheetName val="SUPPTU"/>
      <sheetName val="TU Value Level Metadata"/>
      <sheetName val="TV"/>
      <sheetName val="TV Value Level Metadata"/>
      <sheetName val="VS"/>
      <sheetName val="VS Value Level Metadata"/>
      <sheetName val="RELREC"/>
      <sheetName val="SUPPQUAL"/>
      <sheetName val="CODELIST"/>
      <sheetName val="FORMATS"/>
      <sheetName val="VISIT"/>
      <sheetName val="Site List"/>
    </sheetNames>
    <sheetDataSet>
      <sheetData sheetId="0" refreshError="1">
        <row r="3">
          <cell r="B3" t="str">
            <v>PH-L19IL2TNF-02/15</v>
          </cell>
        </row>
        <row r="7">
          <cell r="E7" t="str">
            <v>Events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"/>
  <sheetViews>
    <sheetView workbookViewId="0">
      <selection activeCell="A72" sqref="A72"/>
    </sheetView>
  </sheetViews>
  <sheetFormatPr defaultRowHeight="15"/>
  <cols>
    <col min="1" max="1" width="109.140625" bestFit="1" customWidth="1"/>
    <col min="2" max="2" width="23.5703125" bestFit="1" customWidth="1"/>
  </cols>
  <sheetData>
    <row r="1" spans="1:13">
      <c r="A1" s="60" t="s">
        <v>11</v>
      </c>
      <c r="B1" s="55"/>
      <c r="C1" s="55"/>
      <c r="D1" s="55"/>
      <c r="E1" s="55"/>
      <c r="F1" s="55"/>
      <c r="G1" s="55"/>
      <c r="H1" s="55"/>
      <c r="I1" s="2"/>
      <c r="J1" s="2"/>
      <c r="K1" s="2"/>
      <c r="L1" s="2"/>
      <c r="M1" s="2"/>
    </row>
    <row r="2" spans="1:13">
      <c r="A2" s="61"/>
      <c r="B2" s="55"/>
      <c r="C2" s="55"/>
      <c r="D2" s="55"/>
      <c r="E2" s="55"/>
      <c r="F2" s="55"/>
      <c r="G2" s="55"/>
      <c r="H2" s="55"/>
      <c r="I2" s="2"/>
      <c r="J2" s="2"/>
      <c r="K2" s="2"/>
      <c r="L2" s="2"/>
      <c r="M2" s="2"/>
    </row>
    <row r="3" spans="1:13">
      <c r="A3" s="3" t="s">
        <v>12</v>
      </c>
      <c r="B3" s="4"/>
      <c r="C3" s="62"/>
      <c r="D3" s="59"/>
      <c r="E3" s="59"/>
      <c r="F3" s="59"/>
      <c r="G3" s="59"/>
      <c r="H3" s="59"/>
      <c r="I3" s="2"/>
      <c r="J3" s="2"/>
      <c r="K3" s="2"/>
      <c r="L3" s="2"/>
      <c r="M3" s="2"/>
    </row>
    <row r="4" spans="1:13">
      <c r="A4" s="3" t="s">
        <v>2</v>
      </c>
      <c r="B4" s="5" t="s">
        <v>13</v>
      </c>
      <c r="C4" s="62"/>
      <c r="D4" s="59"/>
      <c r="E4" s="59"/>
      <c r="F4" s="59"/>
      <c r="G4" s="59"/>
      <c r="H4" s="59"/>
      <c r="I4" s="2"/>
      <c r="J4" s="2"/>
      <c r="K4" s="2"/>
      <c r="L4" s="2"/>
      <c r="M4" s="2"/>
    </row>
    <row r="5" spans="1:13">
      <c r="A5" s="61"/>
      <c r="B5" s="55"/>
      <c r="C5" s="55"/>
      <c r="D5" s="55"/>
      <c r="E5" s="55"/>
      <c r="F5" s="55"/>
      <c r="G5" s="55"/>
      <c r="H5" s="55"/>
      <c r="I5" s="2"/>
      <c r="J5" s="2"/>
      <c r="K5" s="2"/>
      <c r="L5" s="2"/>
      <c r="M5" s="2"/>
    </row>
    <row r="6" spans="1:13" ht="45" customHeight="1">
      <c r="A6" s="6" t="s">
        <v>14</v>
      </c>
      <c r="B6" s="7" t="s">
        <v>15</v>
      </c>
      <c r="C6" s="7" t="s">
        <v>16</v>
      </c>
      <c r="D6" s="8" t="s">
        <v>17</v>
      </c>
      <c r="E6" s="9" t="s">
        <v>18</v>
      </c>
      <c r="F6" s="9" t="s">
        <v>19</v>
      </c>
      <c r="G6" s="9" t="s">
        <v>20</v>
      </c>
      <c r="H6" s="9" t="s">
        <v>21</v>
      </c>
      <c r="I6" s="7" t="s">
        <v>22</v>
      </c>
      <c r="J6" s="7" t="s">
        <v>23</v>
      </c>
      <c r="K6" s="7" t="s">
        <v>24</v>
      </c>
      <c r="L6" s="7" t="s">
        <v>25</v>
      </c>
      <c r="M6" s="7" t="s">
        <v>26</v>
      </c>
    </row>
    <row r="7" spans="1:13" ht="90" customHeight="1">
      <c r="A7" s="10" t="s">
        <v>27</v>
      </c>
      <c r="B7" s="11" t="s">
        <v>28</v>
      </c>
      <c r="C7" s="12" t="s">
        <v>29</v>
      </c>
      <c r="D7" s="13" t="s">
        <v>30</v>
      </c>
      <c r="E7" s="14" t="s">
        <v>31</v>
      </c>
      <c r="F7" s="15"/>
      <c r="G7" s="15" t="s">
        <v>32</v>
      </c>
      <c r="H7" s="15" t="s">
        <v>32</v>
      </c>
      <c r="I7" s="16"/>
      <c r="J7" s="16" t="s">
        <v>33</v>
      </c>
      <c r="K7" s="16"/>
      <c r="L7" s="16"/>
      <c r="M7" s="17">
        <v>4</v>
      </c>
    </row>
    <row r="8" spans="1:13" ht="90" customHeight="1">
      <c r="A8" s="10" t="s">
        <v>34</v>
      </c>
      <c r="B8" s="11" t="s">
        <v>35</v>
      </c>
      <c r="C8" s="18" t="s">
        <v>36</v>
      </c>
      <c r="D8" s="13" t="s">
        <v>30</v>
      </c>
      <c r="E8" s="14" t="s">
        <v>37</v>
      </c>
      <c r="F8" s="15"/>
      <c r="G8" s="15" t="s">
        <v>38</v>
      </c>
      <c r="H8" s="15" t="s">
        <v>38</v>
      </c>
      <c r="I8" s="16"/>
      <c r="J8" s="16" t="s">
        <v>33</v>
      </c>
      <c r="K8" s="16"/>
      <c r="L8" s="16"/>
      <c r="M8" s="17">
        <v>4</v>
      </c>
    </row>
    <row r="9" spans="1:13" ht="78.75" customHeight="1">
      <c r="A9" s="10" t="s">
        <v>39</v>
      </c>
      <c r="B9" s="11" t="s">
        <v>40</v>
      </c>
      <c r="C9" s="15" t="s">
        <v>41</v>
      </c>
      <c r="D9" s="13" t="s">
        <v>42</v>
      </c>
      <c r="E9" s="14" t="s">
        <v>31</v>
      </c>
      <c r="F9" s="15"/>
      <c r="G9" s="15" t="s">
        <v>43</v>
      </c>
      <c r="H9" s="15" t="s">
        <v>43</v>
      </c>
      <c r="I9" s="16"/>
      <c r="J9" s="16" t="s">
        <v>33</v>
      </c>
      <c r="K9" s="16"/>
      <c r="L9" s="16"/>
      <c r="M9" s="17">
        <v>4</v>
      </c>
    </row>
    <row r="10" spans="1:13" ht="180" customHeight="1">
      <c r="A10" s="10" t="s">
        <v>44</v>
      </c>
      <c r="B10" s="11" t="s">
        <v>45</v>
      </c>
      <c r="C10" s="12" t="s">
        <v>46</v>
      </c>
      <c r="D10" s="13" t="s">
        <v>47</v>
      </c>
      <c r="E10" s="14" t="s">
        <v>48</v>
      </c>
      <c r="F10" s="15"/>
      <c r="G10" s="15" t="s">
        <v>49</v>
      </c>
      <c r="H10" s="15" t="s">
        <v>49</v>
      </c>
      <c r="I10" s="16"/>
      <c r="J10" s="16" t="s">
        <v>33</v>
      </c>
      <c r="K10" s="16"/>
      <c r="L10" s="16"/>
      <c r="M10" s="17">
        <v>4</v>
      </c>
    </row>
    <row r="11" spans="1:13" ht="90" customHeight="1">
      <c r="A11" s="10" t="s">
        <v>50</v>
      </c>
      <c r="B11" s="19" t="s">
        <v>51</v>
      </c>
      <c r="C11" s="18" t="s">
        <v>36</v>
      </c>
      <c r="D11" s="13" t="s">
        <v>47</v>
      </c>
      <c r="E11" s="14" t="s">
        <v>37</v>
      </c>
      <c r="F11" s="15"/>
      <c r="G11" s="15" t="s">
        <v>38</v>
      </c>
      <c r="H11" s="15" t="s">
        <v>38</v>
      </c>
      <c r="I11" s="16"/>
      <c r="J11" s="16" t="s">
        <v>33</v>
      </c>
      <c r="K11" s="16"/>
      <c r="L11" s="16"/>
      <c r="M11" s="17">
        <v>4</v>
      </c>
    </row>
    <row r="12" spans="1:13" ht="157.5" customHeight="1">
      <c r="A12" s="10" t="s">
        <v>52</v>
      </c>
      <c r="B12" s="11" t="s">
        <v>53</v>
      </c>
      <c r="C12" s="15" t="s">
        <v>54</v>
      </c>
      <c r="D12" s="15" t="s">
        <v>55</v>
      </c>
      <c r="E12" s="14" t="s">
        <v>56</v>
      </c>
      <c r="F12" s="15"/>
      <c r="G12" s="16" t="s">
        <v>57</v>
      </c>
      <c r="H12" s="16" t="s">
        <v>57</v>
      </c>
      <c r="I12" s="16"/>
      <c r="J12" s="16" t="s">
        <v>33</v>
      </c>
      <c r="K12" s="16"/>
      <c r="L12" s="16"/>
      <c r="M12" s="17">
        <v>4</v>
      </c>
    </row>
    <row r="13" spans="1:13" ht="78.75" customHeight="1">
      <c r="A13" s="10" t="s">
        <v>58</v>
      </c>
      <c r="B13" s="20" t="s">
        <v>59</v>
      </c>
      <c r="C13" s="21" t="s">
        <v>60</v>
      </c>
      <c r="D13" s="21" t="s">
        <v>61</v>
      </c>
      <c r="E13" s="22" t="s">
        <v>62</v>
      </c>
      <c r="F13" s="21"/>
      <c r="G13" s="23" t="s">
        <v>63</v>
      </c>
      <c r="H13" s="23" t="s">
        <v>63</v>
      </c>
      <c r="I13" s="16"/>
      <c r="J13" s="16" t="s">
        <v>33</v>
      </c>
      <c r="K13" s="16"/>
      <c r="L13" s="16"/>
      <c r="M13" s="17">
        <v>4</v>
      </c>
    </row>
    <row r="14" spans="1:13" ht="90" customHeight="1">
      <c r="A14" s="24" t="s">
        <v>64</v>
      </c>
      <c r="B14" s="19" t="s">
        <v>65</v>
      </c>
      <c r="C14" s="18" t="s">
        <v>36</v>
      </c>
      <c r="D14" s="13" t="s">
        <v>61</v>
      </c>
      <c r="E14" s="14" t="s">
        <v>37</v>
      </c>
      <c r="F14" s="21"/>
      <c r="G14" s="15" t="s">
        <v>38</v>
      </c>
      <c r="H14" s="15" t="s">
        <v>38</v>
      </c>
      <c r="I14" s="16"/>
      <c r="J14" s="16" t="s">
        <v>33</v>
      </c>
      <c r="K14" s="16"/>
      <c r="L14" s="16"/>
      <c r="M14" s="17">
        <v>4</v>
      </c>
    </row>
    <row r="15" spans="1:13" ht="101.25" customHeight="1">
      <c r="A15" s="10" t="str">
        <f>HYPERLINK("#CV!A1","CV")</f>
        <v>CV</v>
      </c>
      <c r="B15" s="25" t="s">
        <v>66</v>
      </c>
      <c r="C15" s="26" t="s">
        <v>67</v>
      </c>
      <c r="D15" s="13" t="s">
        <v>68</v>
      </c>
      <c r="E15" s="14" t="s">
        <v>62</v>
      </c>
      <c r="F15" s="15"/>
      <c r="G15" s="15" t="s">
        <v>69</v>
      </c>
      <c r="H15" s="15" t="s">
        <v>69</v>
      </c>
      <c r="I15" s="16"/>
      <c r="J15" s="16" t="s">
        <v>33</v>
      </c>
      <c r="K15" s="16"/>
      <c r="L15" s="16"/>
      <c r="M15" s="17">
        <v>4</v>
      </c>
    </row>
    <row r="16" spans="1:13" ht="90" customHeight="1">
      <c r="A16" s="10" t="str">
        <f>HYPERLINK("#SUPPCV!A1","SUPPCV")</f>
        <v>SUPPCV</v>
      </c>
      <c r="B16" s="19" t="s">
        <v>70</v>
      </c>
      <c r="C16" s="18" t="s">
        <v>36</v>
      </c>
      <c r="D16" s="13" t="s">
        <v>68</v>
      </c>
      <c r="E16" s="14" t="s">
        <v>37</v>
      </c>
      <c r="F16" s="15"/>
      <c r="G16" s="27" t="s">
        <v>38</v>
      </c>
      <c r="H16" s="27" t="s">
        <v>38</v>
      </c>
      <c r="I16" s="28"/>
      <c r="J16" s="28" t="s">
        <v>33</v>
      </c>
      <c r="K16" s="28"/>
      <c r="L16" s="28"/>
      <c r="M16" s="17">
        <v>4</v>
      </c>
    </row>
    <row r="17" spans="1:13" ht="157.5" customHeight="1">
      <c r="A17" s="10" t="s">
        <v>71</v>
      </c>
      <c r="B17" s="19" t="s">
        <v>72</v>
      </c>
      <c r="C17" s="29" t="s">
        <v>73</v>
      </c>
      <c r="D17" s="13" t="s">
        <v>74</v>
      </c>
      <c r="E17" s="14" t="s">
        <v>56</v>
      </c>
      <c r="F17" s="15"/>
      <c r="G17" s="15" t="s">
        <v>75</v>
      </c>
      <c r="H17" s="15" t="s">
        <v>75</v>
      </c>
      <c r="I17" s="16"/>
      <c r="J17" s="16" t="s">
        <v>33</v>
      </c>
      <c r="K17" s="16"/>
      <c r="L17" s="16"/>
      <c r="M17" s="17">
        <v>1</v>
      </c>
    </row>
    <row r="18" spans="1:13" ht="157.5" customHeight="1">
      <c r="A18" s="10" t="s">
        <v>76</v>
      </c>
      <c r="B18" s="19" t="s">
        <v>77</v>
      </c>
      <c r="C18" s="18" t="s">
        <v>36</v>
      </c>
      <c r="D18" s="13" t="s">
        <v>74</v>
      </c>
      <c r="E18" s="14" t="s">
        <v>37</v>
      </c>
      <c r="F18" s="15"/>
      <c r="G18" s="15" t="s">
        <v>38</v>
      </c>
      <c r="H18" s="15" t="s">
        <v>38</v>
      </c>
      <c r="I18" s="16"/>
      <c r="J18" s="16" t="s">
        <v>33</v>
      </c>
      <c r="K18" s="16"/>
      <c r="L18" s="16"/>
      <c r="M18" s="17">
        <v>4</v>
      </c>
    </row>
    <row r="19" spans="1:13" ht="78.75" customHeight="1">
      <c r="A19" s="10" t="s">
        <v>78</v>
      </c>
      <c r="B19" s="11" t="s">
        <v>79</v>
      </c>
      <c r="C19" s="12" t="s">
        <v>80</v>
      </c>
      <c r="D19" s="13" t="s">
        <v>81</v>
      </c>
      <c r="E19" s="14" t="s">
        <v>31</v>
      </c>
      <c r="F19" s="15"/>
      <c r="G19" s="15" t="s">
        <v>82</v>
      </c>
      <c r="H19" s="15" t="s">
        <v>82</v>
      </c>
      <c r="I19" s="16"/>
      <c r="J19" s="16" t="s">
        <v>33</v>
      </c>
      <c r="K19" s="16"/>
      <c r="L19" s="16"/>
      <c r="M19" s="17">
        <v>4</v>
      </c>
    </row>
    <row r="20" spans="1:13" ht="90" customHeight="1">
      <c r="A20" s="10" t="s">
        <v>83</v>
      </c>
      <c r="B20" s="11" t="s">
        <v>84</v>
      </c>
      <c r="C20" s="18" t="s">
        <v>36</v>
      </c>
      <c r="D20" s="13" t="s">
        <v>81</v>
      </c>
      <c r="E20" s="14" t="s">
        <v>37</v>
      </c>
      <c r="F20" s="15"/>
      <c r="G20" s="15" t="s">
        <v>38</v>
      </c>
      <c r="H20" s="15" t="s">
        <v>38</v>
      </c>
      <c r="I20" s="16"/>
      <c r="J20" s="16" t="s">
        <v>33</v>
      </c>
      <c r="K20" s="16"/>
      <c r="L20" s="16"/>
      <c r="M20" s="17">
        <v>4</v>
      </c>
    </row>
    <row r="21" spans="1:13" ht="78.75" customHeight="1">
      <c r="A21" s="10" t="s">
        <v>85</v>
      </c>
      <c r="B21" s="11" t="s">
        <v>86</v>
      </c>
      <c r="C21" s="30" t="s">
        <v>87</v>
      </c>
      <c r="D21" s="15" t="s">
        <v>88</v>
      </c>
      <c r="E21" s="14" t="s">
        <v>31</v>
      </c>
      <c r="F21" s="15"/>
      <c r="G21" s="16" t="s">
        <v>89</v>
      </c>
      <c r="H21" s="16" t="s">
        <v>89</v>
      </c>
      <c r="I21" s="16"/>
      <c r="J21" s="16" t="s">
        <v>33</v>
      </c>
      <c r="K21" s="16"/>
      <c r="L21" s="16"/>
      <c r="M21" s="17">
        <v>4</v>
      </c>
    </row>
    <row r="22" spans="1:13" ht="90" customHeight="1">
      <c r="A22" s="10" t="s">
        <v>90</v>
      </c>
      <c r="B22" s="11" t="s">
        <v>91</v>
      </c>
      <c r="C22" s="31" t="s">
        <v>36</v>
      </c>
      <c r="D22" s="15" t="s">
        <v>88</v>
      </c>
      <c r="E22" s="14" t="s">
        <v>37</v>
      </c>
      <c r="F22" s="15"/>
      <c r="G22" s="16" t="s">
        <v>38</v>
      </c>
      <c r="H22" s="16" t="s">
        <v>38</v>
      </c>
      <c r="I22" s="16"/>
      <c r="J22" s="16" t="s">
        <v>33</v>
      </c>
      <c r="K22" s="16"/>
      <c r="L22" s="16"/>
      <c r="M22" s="17">
        <v>4</v>
      </c>
    </row>
    <row r="23" spans="1:13" ht="157.5" customHeight="1">
      <c r="A23" s="10" t="s">
        <v>92</v>
      </c>
      <c r="B23" s="11" t="s">
        <v>93</v>
      </c>
      <c r="C23" s="12" t="s">
        <v>94</v>
      </c>
      <c r="D23" s="13" t="s">
        <v>95</v>
      </c>
      <c r="E23" s="14" t="s">
        <v>48</v>
      </c>
      <c r="F23" s="15"/>
      <c r="G23" s="32" t="s">
        <v>96</v>
      </c>
      <c r="H23" s="33" t="s">
        <v>96</v>
      </c>
      <c r="I23" s="16"/>
      <c r="J23" s="16" t="s">
        <v>33</v>
      </c>
      <c r="K23" s="16"/>
      <c r="L23" s="16"/>
      <c r="M23" s="17">
        <v>4</v>
      </c>
    </row>
    <row r="24" spans="1:13" ht="90" customHeight="1">
      <c r="A24" s="34" t="s">
        <v>97</v>
      </c>
      <c r="B24" s="35" t="s">
        <v>98</v>
      </c>
      <c r="C24" s="18" t="s">
        <v>36</v>
      </c>
      <c r="D24" s="27" t="s">
        <v>95</v>
      </c>
      <c r="E24" s="36" t="s">
        <v>37</v>
      </c>
      <c r="F24" s="15"/>
      <c r="G24" s="27" t="s">
        <v>38</v>
      </c>
      <c r="H24" s="27" t="s">
        <v>38</v>
      </c>
      <c r="I24" s="28"/>
      <c r="J24" s="28" t="s">
        <v>33</v>
      </c>
      <c r="K24" s="28"/>
      <c r="L24" s="28"/>
      <c r="M24" s="17">
        <v>4</v>
      </c>
    </row>
    <row r="25" spans="1:13" ht="90" customHeight="1">
      <c r="A25" s="10" t="s">
        <v>99</v>
      </c>
      <c r="B25" s="11" t="s">
        <v>100</v>
      </c>
      <c r="C25" s="12" t="s">
        <v>101</v>
      </c>
      <c r="D25" s="16" t="s">
        <v>102</v>
      </c>
      <c r="E25" s="14" t="s">
        <v>62</v>
      </c>
      <c r="F25" s="15"/>
      <c r="G25" s="15" t="s">
        <v>103</v>
      </c>
      <c r="H25" s="15" t="s">
        <v>103</v>
      </c>
      <c r="I25" s="16"/>
      <c r="J25" s="16" t="s">
        <v>33</v>
      </c>
      <c r="K25" s="16"/>
      <c r="L25" s="16"/>
      <c r="M25" s="17">
        <v>4</v>
      </c>
    </row>
    <row r="26" spans="1:13" ht="90" customHeight="1">
      <c r="A26" s="34" t="str">
        <f>HYPERLINK("#SUPPEG!A1","SUPPEG")</f>
        <v>SUPPEG</v>
      </c>
      <c r="B26" s="35" t="s">
        <v>104</v>
      </c>
      <c r="C26" s="37" t="s">
        <v>36</v>
      </c>
      <c r="D26" s="16" t="s">
        <v>102</v>
      </c>
      <c r="E26" s="36" t="s">
        <v>37</v>
      </c>
      <c r="F26" s="15"/>
      <c r="G26" s="27" t="s">
        <v>38</v>
      </c>
      <c r="H26" s="27" t="s">
        <v>38</v>
      </c>
      <c r="I26" s="28"/>
      <c r="J26" s="28" t="s">
        <v>33</v>
      </c>
      <c r="K26" s="28"/>
      <c r="L26" s="28"/>
      <c r="M26" s="17">
        <v>4</v>
      </c>
    </row>
    <row r="27" spans="1:13" ht="112.5" customHeight="1">
      <c r="A27" s="10" t="s">
        <v>105</v>
      </c>
      <c r="B27" s="11" t="s">
        <v>106</v>
      </c>
      <c r="C27" s="12" t="s">
        <v>107</v>
      </c>
      <c r="D27" s="13" t="s">
        <v>108</v>
      </c>
      <c r="E27" s="14" t="s">
        <v>48</v>
      </c>
      <c r="F27" s="15"/>
      <c r="G27" s="15" t="s">
        <v>109</v>
      </c>
      <c r="H27" s="15" t="s">
        <v>109</v>
      </c>
      <c r="I27" s="16"/>
      <c r="J27" s="16" t="s">
        <v>33</v>
      </c>
      <c r="K27" s="16"/>
      <c r="L27" s="16"/>
      <c r="M27" s="17">
        <v>4</v>
      </c>
    </row>
    <row r="28" spans="1:13" ht="78.75" customHeight="1">
      <c r="A28" s="10" t="s">
        <v>110</v>
      </c>
      <c r="B28" s="25" t="s">
        <v>111</v>
      </c>
      <c r="C28" s="26" t="s">
        <v>112</v>
      </c>
      <c r="D28" s="38" t="s">
        <v>113</v>
      </c>
      <c r="E28" s="15" t="s">
        <v>62</v>
      </c>
      <c r="F28" s="38"/>
      <c r="G28" s="16" t="s">
        <v>114</v>
      </c>
      <c r="H28" s="16" t="s">
        <v>114</v>
      </c>
      <c r="I28" s="16"/>
      <c r="J28" s="16" t="s">
        <v>33</v>
      </c>
      <c r="K28" s="16"/>
      <c r="L28" s="16"/>
      <c r="M28" s="17">
        <v>4</v>
      </c>
    </row>
    <row r="29" spans="1:13" ht="90" customHeight="1">
      <c r="A29" s="24" t="s">
        <v>115</v>
      </c>
      <c r="B29" s="35" t="s">
        <v>116</v>
      </c>
      <c r="C29" s="18" t="s">
        <v>36</v>
      </c>
      <c r="D29" s="38" t="s">
        <v>113</v>
      </c>
      <c r="E29" s="15" t="s">
        <v>62</v>
      </c>
      <c r="F29" s="38"/>
      <c r="G29" s="27" t="s">
        <v>38</v>
      </c>
      <c r="H29" s="27" t="s">
        <v>38</v>
      </c>
      <c r="I29" s="16"/>
      <c r="J29" s="16" t="s">
        <v>33</v>
      </c>
      <c r="K29" s="16"/>
      <c r="L29" s="16"/>
      <c r="M29" s="17">
        <v>4</v>
      </c>
    </row>
    <row r="30" spans="1:13" ht="168.75" customHeight="1">
      <c r="A30" s="10" t="s">
        <v>117</v>
      </c>
      <c r="B30" s="11" t="s">
        <v>118</v>
      </c>
      <c r="C30" s="12" t="s">
        <v>119</v>
      </c>
      <c r="D30" s="16" t="s">
        <v>120</v>
      </c>
      <c r="E30" s="14" t="s">
        <v>62</v>
      </c>
      <c r="F30" s="15"/>
      <c r="G30" s="15" t="s">
        <v>121</v>
      </c>
      <c r="H30" s="15" t="s">
        <v>121</v>
      </c>
      <c r="I30" s="16"/>
      <c r="J30" s="16" t="s">
        <v>33</v>
      </c>
      <c r="K30" s="16"/>
      <c r="L30" s="16"/>
      <c r="M30" s="17">
        <v>4</v>
      </c>
    </row>
    <row r="31" spans="1:13" ht="168.75" customHeight="1">
      <c r="A31" s="34" t="str">
        <f>HYPERLINK("#SUPPIE!A1","SUPPIE")</f>
        <v>SUPPIE</v>
      </c>
      <c r="B31" s="35" t="s">
        <v>122</v>
      </c>
      <c r="C31" s="18" t="s">
        <v>36</v>
      </c>
      <c r="D31" s="16" t="s">
        <v>120</v>
      </c>
      <c r="E31" s="36" t="s">
        <v>37</v>
      </c>
      <c r="F31" s="15"/>
      <c r="G31" s="27" t="s">
        <v>38</v>
      </c>
      <c r="H31" s="27" t="s">
        <v>38</v>
      </c>
      <c r="I31" s="16"/>
      <c r="J31" s="28" t="s">
        <v>33</v>
      </c>
      <c r="K31" s="28"/>
      <c r="L31" s="28"/>
      <c r="M31" s="17">
        <v>4</v>
      </c>
    </row>
    <row r="32" spans="1:13" ht="303.75" customHeight="1">
      <c r="A32" s="10" t="s">
        <v>123</v>
      </c>
      <c r="B32" s="11" t="s">
        <v>124</v>
      </c>
      <c r="C32" s="12" t="s">
        <v>125</v>
      </c>
      <c r="D32" s="13" t="s">
        <v>126</v>
      </c>
      <c r="E32" s="15" t="s">
        <v>62</v>
      </c>
      <c r="F32" s="15"/>
      <c r="G32" s="15" t="s">
        <v>127</v>
      </c>
      <c r="H32" s="15" t="s">
        <v>127</v>
      </c>
      <c r="I32" s="16"/>
      <c r="J32" s="16" t="s">
        <v>33</v>
      </c>
      <c r="K32" s="16"/>
      <c r="L32" s="16"/>
      <c r="M32" s="17">
        <v>4</v>
      </c>
    </row>
    <row r="33" spans="1:13" ht="303.75" customHeight="1">
      <c r="A33" s="10" t="s">
        <v>128</v>
      </c>
      <c r="B33" s="19" t="s">
        <v>129</v>
      </c>
      <c r="C33" s="37" t="s">
        <v>36</v>
      </c>
      <c r="D33" s="13" t="s">
        <v>126</v>
      </c>
      <c r="E33" s="14" t="s">
        <v>37</v>
      </c>
      <c r="F33" s="15"/>
      <c r="G33" s="15" t="s">
        <v>38</v>
      </c>
      <c r="H33" s="15" t="s">
        <v>38</v>
      </c>
      <c r="I33" s="16"/>
      <c r="J33" s="16" t="s">
        <v>33</v>
      </c>
      <c r="K33" s="16"/>
      <c r="L33" s="16"/>
      <c r="M33" s="17">
        <v>4</v>
      </c>
    </row>
    <row r="34" spans="1:13" ht="112.5" customHeight="1">
      <c r="A34" s="10" t="s">
        <v>130</v>
      </c>
      <c r="B34" s="15" t="s">
        <v>131</v>
      </c>
      <c r="C34" s="12" t="s">
        <v>125</v>
      </c>
      <c r="D34" s="13" t="s">
        <v>132</v>
      </c>
      <c r="E34" s="14" t="s">
        <v>62</v>
      </c>
      <c r="F34" s="15"/>
      <c r="G34" s="15" t="s">
        <v>133</v>
      </c>
      <c r="H34" s="15" t="s">
        <v>133</v>
      </c>
      <c r="I34" s="16"/>
      <c r="J34" s="16" t="s">
        <v>33</v>
      </c>
      <c r="K34" s="16"/>
      <c r="L34" s="16"/>
      <c r="M34" s="17">
        <v>4</v>
      </c>
    </row>
    <row r="35" spans="1:13" ht="90" customHeight="1">
      <c r="A35" s="10" t="s">
        <v>134</v>
      </c>
      <c r="B35" s="15" t="s">
        <v>135</v>
      </c>
      <c r="C35" s="16" t="s">
        <v>36</v>
      </c>
      <c r="D35" s="13" t="s">
        <v>132</v>
      </c>
      <c r="E35" s="14" t="s">
        <v>37</v>
      </c>
      <c r="F35" s="15"/>
      <c r="G35" s="15" t="s">
        <v>38</v>
      </c>
      <c r="H35" s="15" t="s">
        <v>38</v>
      </c>
      <c r="I35" s="16"/>
      <c r="J35" s="16" t="s">
        <v>33</v>
      </c>
      <c r="K35" s="16"/>
      <c r="L35" s="16"/>
      <c r="M35" s="17">
        <v>4</v>
      </c>
    </row>
    <row r="36" spans="1:13" ht="90" customHeight="1">
      <c r="A36" s="10" t="s">
        <v>136</v>
      </c>
      <c r="B36" s="19" t="s">
        <v>137</v>
      </c>
      <c r="C36" s="29" t="s">
        <v>138</v>
      </c>
      <c r="D36" s="13" t="s">
        <v>139</v>
      </c>
      <c r="E36" s="14" t="s">
        <v>62</v>
      </c>
      <c r="F36" s="15"/>
      <c r="G36" s="15" t="s">
        <v>140</v>
      </c>
      <c r="H36" s="15" t="s">
        <v>140</v>
      </c>
      <c r="I36" s="16"/>
      <c r="J36" s="16" t="s">
        <v>33</v>
      </c>
      <c r="K36" s="16"/>
      <c r="L36" s="16"/>
      <c r="M36" s="17">
        <v>4</v>
      </c>
    </row>
    <row r="37" spans="1:13" ht="90" customHeight="1">
      <c r="A37" s="24" t="s">
        <v>141</v>
      </c>
      <c r="B37" s="19" t="s">
        <v>142</v>
      </c>
      <c r="C37" s="39" t="s">
        <v>36</v>
      </c>
      <c r="D37" s="13" t="s">
        <v>139</v>
      </c>
      <c r="E37" s="14" t="s">
        <v>37</v>
      </c>
      <c r="F37" s="15"/>
      <c r="G37" s="15" t="s">
        <v>38</v>
      </c>
      <c r="H37" s="15" t="s">
        <v>38</v>
      </c>
      <c r="I37" s="16"/>
      <c r="J37" s="16" t="s">
        <v>33</v>
      </c>
      <c r="K37" s="16"/>
      <c r="L37" s="16"/>
      <c r="M37" s="17">
        <v>4</v>
      </c>
    </row>
    <row r="38" spans="1:13" ht="90" customHeight="1">
      <c r="A38" s="10" t="s">
        <v>143</v>
      </c>
      <c r="B38" s="19" t="s">
        <v>144</v>
      </c>
      <c r="C38" s="29" t="s">
        <v>145</v>
      </c>
      <c r="D38" s="13" t="s">
        <v>146</v>
      </c>
      <c r="E38" s="14" t="s">
        <v>31</v>
      </c>
      <c r="F38" s="15"/>
      <c r="G38" s="15" t="s">
        <v>147</v>
      </c>
      <c r="H38" s="15" t="s">
        <v>147</v>
      </c>
      <c r="I38" s="16"/>
      <c r="J38" s="16" t="s">
        <v>33</v>
      </c>
      <c r="K38" s="16"/>
      <c r="L38" s="16"/>
      <c r="M38" s="17">
        <v>4</v>
      </c>
    </row>
    <row r="39" spans="1:13" ht="90" customHeight="1">
      <c r="A39" s="10" t="s">
        <v>148</v>
      </c>
      <c r="B39" s="19" t="s">
        <v>149</v>
      </c>
      <c r="C39" s="18" t="s">
        <v>36</v>
      </c>
      <c r="D39" s="13" t="s">
        <v>146</v>
      </c>
      <c r="E39" s="14" t="s">
        <v>37</v>
      </c>
      <c r="F39" s="15"/>
      <c r="G39" s="15" t="s">
        <v>38</v>
      </c>
      <c r="H39" s="15" t="s">
        <v>38</v>
      </c>
      <c r="I39" s="16"/>
      <c r="J39" s="16" t="s">
        <v>33</v>
      </c>
      <c r="K39" s="16"/>
      <c r="L39" s="16"/>
      <c r="M39" s="17">
        <v>4</v>
      </c>
    </row>
    <row r="40" spans="1:13" ht="101.25" customHeight="1">
      <c r="A40" s="10" t="s">
        <v>150</v>
      </c>
      <c r="B40" s="11" t="s">
        <v>151</v>
      </c>
      <c r="C40" s="15" t="s">
        <v>152</v>
      </c>
      <c r="D40" s="13" t="s">
        <v>153</v>
      </c>
      <c r="E40" s="14" t="s">
        <v>62</v>
      </c>
      <c r="F40" s="15"/>
      <c r="G40" s="15" t="s">
        <v>154</v>
      </c>
      <c r="H40" s="15" t="s">
        <v>154</v>
      </c>
      <c r="I40" s="16"/>
      <c r="J40" s="16" t="s">
        <v>33</v>
      </c>
      <c r="K40" s="16"/>
      <c r="L40" s="16"/>
      <c r="M40" s="17">
        <v>4</v>
      </c>
    </row>
    <row r="41" spans="1:13" ht="101.25" customHeight="1">
      <c r="A41" s="10" t="s">
        <v>155</v>
      </c>
      <c r="B41" s="11" t="s">
        <v>156</v>
      </c>
      <c r="C41" s="12" t="s">
        <v>157</v>
      </c>
      <c r="D41" s="16" t="s">
        <v>158</v>
      </c>
      <c r="E41" s="14" t="s">
        <v>62</v>
      </c>
      <c r="F41" s="15"/>
      <c r="G41" s="15" t="s">
        <v>159</v>
      </c>
      <c r="H41" s="15" t="s">
        <v>159</v>
      </c>
      <c r="I41" s="16"/>
      <c r="J41" s="16" t="s">
        <v>33</v>
      </c>
      <c r="K41" s="16"/>
      <c r="L41" s="16"/>
      <c r="M41" s="17">
        <v>4</v>
      </c>
    </row>
    <row r="42" spans="1:13" ht="90" customHeight="1">
      <c r="A42" s="10" t="str">
        <f>HYPERLINK("#SUPPPE!A1","SUPPPE")</f>
        <v>SUPPPE</v>
      </c>
      <c r="B42" s="19" t="s">
        <v>160</v>
      </c>
      <c r="C42" s="18" t="s">
        <v>36</v>
      </c>
      <c r="D42" s="16" t="s">
        <v>158</v>
      </c>
      <c r="E42" s="14" t="s">
        <v>37</v>
      </c>
      <c r="F42" s="15"/>
      <c r="G42" s="15" t="s">
        <v>38</v>
      </c>
      <c r="H42" s="15" t="s">
        <v>38</v>
      </c>
      <c r="I42" s="16"/>
      <c r="J42" s="16" t="s">
        <v>33</v>
      </c>
      <c r="K42" s="16"/>
      <c r="L42" s="16"/>
      <c r="M42" s="17">
        <v>4</v>
      </c>
    </row>
    <row r="43" spans="1:13" ht="90" customHeight="1">
      <c r="A43" s="10" t="s">
        <v>161</v>
      </c>
      <c r="B43" s="11" t="s">
        <v>162</v>
      </c>
      <c r="C43" s="12" t="s">
        <v>163</v>
      </c>
      <c r="D43" s="13" t="s">
        <v>164</v>
      </c>
      <c r="E43" s="14" t="s">
        <v>48</v>
      </c>
      <c r="F43" s="15"/>
      <c r="G43" s="15" t="s">
        <v>165</v>
      </c>
      <c r="H43" s="15" t="s">
        <v>165</v>
      </c>
      <c r="I43" s="16"/>
      <c r="J43" s="16" t="s">
        <v>33</v>
      </c>
      <c r="K43" s="16"/>
      <c r="L43" s="16"/>
      <c r="M43" s="17">
        <v>4</v>
      </c>
    </row>
    <row r="44" spans="1:13" ht="90" customHeight="1">
      <c r="A44" s="10" t="str">
        <f>HYPERLINK("#SUPPPR!A1","SUPPPR")</f>
        <v>SUPPPR</v>
      </c>
      <c r="B44" s="19" t="s">
        <v>166</v>
      </c>
      <c r="C44" s="18" t="s">
        <v>36</v>
      </c>
      <c r="D44" s="13" t="s">
        <v>164</v>
      </c>
      <c r="E44" s="14" t="s">
        <v>37</v>
      </c>
      <c r="F44" s="15"/>
      <c r="G44" s="15" t="s">
        <v>38</v>
      </c>
      <c r="H44" s="15" t="s">
        <v>38</v>
      </c>
      <c r="I44" s="16"/>
      <c r="J44" s="16" t="s">
        <v>33</v>
      </c>
      <c r="K44" s="16"/>
      <c r="L44" s="16"/>
      <c r="M44" s="17">
        <v>4</v>
      </c>
    </row>
    <row r="45" spans="1:13" ht="78.75" customHeight="1">
      <c r="A45" s="10" t="s">
        <v>167</v>
      </c>
      <c r="B45" s="11" t="s">
        <v>168</v>
      </c>
      <c r="C45" s="12" t="s">
        <v>169</v>
      </c>
      <c r="D45" s="13" t="s">
        <v>170</v>
      </c>
      <c r="E45" s="14" t="s">
        <v>62</v>
      </c>
      <c r="F45" s="15"/>
      <c r="G45" s="15" t="s">
        <v>171</v>
      </c>
      <c r="H45" s="15" t="s">
        <v>171</v>
      </c>
      <c r="I45" s="16"/>
      <c r="J45" s="16" t="s">
        <v>33</v>
      </c>
      <c r="K45" s="16"/>
      <c r="L45" s="16"/>
      <c r="M45" s="17">
        <v>4</v>
      </c>
    </row>
    <row r="46" spans="1:13" ht="90" customHeight="1">
      <c r="A46" s="40" t="s">
        <v>172</v>
      </c>
      <c r="B46" s="41" t="s">
        <v>173</v>
      </c>
      <c r="C46" s="42" t="s">
        <v>36</v>
      </c>
      <c r="D46" s="42" t="s">
        <v>170</v>
      </c>
      <c r="E46" s="14" t="s">
        <v>37</v>
      </c>
      <c r="F46" s="15"/>
      <c r="G46" s="15" t="s">
        <v>38</v>
      </c>
      <c r="H46" s="15" t="s">
        <v>38</v>
      </c>
      <c r="I46" s="43"/>
      <c r="J46" s="16" t="s">
        <v>33</v>
      </c>
      <c r="K46" s="43"/>
      <c r="L46" s="43"/>
      <c r="M46" s="17">
        <v>4</v>
      </c>
    </row>
    <row r="47" spans="1:13" ht="236.25" customHeight="1">
      <c r="A47" s="10" t="s">
        <v>174</v>
      </c>
      <c r="B47" s="11" t="s">
        <v>175</v>
      </c>
      <c r="C47" s="12" t="s">
        <v>176</v>
      </c>
      <c r="D47" s="13" t="s">
        <v>177</v>
      </c>
      <c r="E47" s="14" t="s">
        <v>62</v>
      </c>
      <c r="F47" s="15"/>
      <c r="G47" s="15" t="s">
        <v>178</v>
      </c>
      <c r="H47" s="15" t="s">
        <v>178</v>
      </c>
      <c r="I47" s="16"/>
      <c r="J47" s="16" t="s">
        <v>33</v>
      </c>
      <c r="K47" s="16"/>
      <c r="L47" s="16"/>
      <c r="M47" s="17">
        <v>4</v>
      </c>
    </row>
    <row r="48" spans="1:13" ht="123.75" customHeight="1">
      <c r="A48" s="40" t="s">
        <v>179</v>
      </c>
      <c r="B48" s="41" t="s">
        <v>180</v>
      </c>
      <c r="C48" s="42" t="s">
        <v>36</v>
      </c>
      <c r="D48" s="42" t="s">
        <v>177</v>
      </c>
      <c r="E48" s="14" t="s">
        <v>37</v>
      </c>
      <c r="F48" s="15"/>
      <c r="G48" s="15" t="s">
        <v>38</v>
      </c>
      <c r="H48" s="15" t="s">
        <v>38</v>
      </c>
      <c r="I48" s="43"/>
      <c r="J48" s="16" t="s">
        <v>33</v>
      </c>
      <c r="K48" s="43"/>
      <c r="L48" s="43"/>
      <c r="M48" s="17">
        <v>4</v>
      </c>
    </row>
    <row r="49" spans="1:13" ht="78.75" customHeight="1">
      <c r="A49" s="44" t="s">
        <v>181</v>
      </c>
      <c r="B49" s="11" t="s">
        <v>182</v>
      </c>
      <c r="C49" s="12" t="s">
        <v>183</v>
      </c>
      <c r="D49" s="16" t="s">
        <v>184</v>
      </c>
      <c r="E49" s="14" t="s">
        <v>56</v>
      </c>
      <c r="F49" s="15"/>
      <c r="G49" s="15" t="s">
        <v>185</v>
      </c>
      <c r="H49" s="15" t="s">
        <v>185</v>
      </c>
      <c r="I49" s="16"/>
      <c r="J49" s="16" t="s">
        <v>33</v>
      </c>
      <c r="K49" s="16"/>
      <c r="L49" s="16"/>
      <c r="M49" s="17">
        <v>2</v>
      </c>
    </row>
    <row r="50" spans="1:13" ht="78.75" customHeight="1">
      <c r="A50" s="10" t="str">
        <f>HYPERLINK("#SS!A1","SS")</f>
        <v>SS</v>
      </c>
      <c r="B50" s="11" t="s">
        <v>186</v>
      </c>
      <c r="C50" s="12" t="s">
        <v>187</v>
      </c>
      <c r="D50" s="16" t="s">
        <v>188</v>
      </c>
      <c r="E50" s="14" t="s">
        <v>62</v>
      </c>
      <c r="F50" s="15"/>
      <c r="G50" s="15" t="s">
        <v>189</v>
      </c>
      <c r="H50" s="15" t="s">
        <v>189</v>
      </c>
      <c r="I50" s="16"/>
      <c r="J50" s="16" t="s">
        <v>33</v>
      </c>
      <c r="K50" s="16"/>
      <c r="L50" s="16"/>
      <c r="M50" s="17">
        <v>4</v>
      </c>
    </row>
    <row r="51" spans="1:13" ht="90" customHeight="1">
      <c r="A51" s="10" t="str">
        <f>HYPERLINK("#SUPPSS!A1","SUPPSS")</f>
        <v>SUPPSS</v>
      </c>
      <c r="B51" s="11" t="s">
        <v>190</v>
      </c>
      <c r="C51" s="18" t="s">
        <v>36</v>
      </c>
      <c r="D51" s="16" t="s">
        <v>188</v>
      </c>
      <c r="E51" s="14" t="s">
        <v>37</v>
      </c>
      <c r="F51" s="15"/>
      <c r="G51" s="15" t="s">
        <v>38</v>
      </c>
      <c r="H51" s="15" t="s">
        <v>38</v>
      </c>
      <c r="I51" s="16"/>
      <c r="J51" s="16" t="s">
        <v>33</v>
      </c>
      <c r="K51" s="16"/>
      <c r="L51" s="16"/>
      <c r="M51" s="17">
        <v>4</v>
      </c>
    </row>
    <row r="52" spans="1:13" ht="326.25" customHeight="1">
      <c r="A52" s="10" t="str">
        <f>HYPERLINK("#SV!A1","SV")</f>
        <v>SV</v>
      </c>
      <c r="B52" s="11" t="s">
        <v>191</v>
      </c>
      <c r="C52" s="12" t="s">
        <v>192</v>
      </c>
      <c r="D52" s="13" t="s">
        <v>193</v>
      </c>
      <c r="E52" s="14" t="s">
        <v>56</v>
      </c>
      <c r="F52" s="15"/>
      <c r="G52" s="15" t="s">
        <v>194</v>
      </c>
      <c r="H52" s="15" t="s">
        <v>194</v>
      </c>
      <c r="I52" s="16"/>
      <c r="J52" s="16" t="s">
        <v>33</v>
      </c>
      <c r="K52" s="16"/>
      <c r="L52" s="16"/>
      <c r="M52" s="17">
        <v>3</v>
      </c>
    </row>
    <row r="53" spans="1:13" ht="326.25" customHeight="1">
      <c r="A53" s="10" t="str">
        <f>HYPERLINK("#SUPPSV!A1","SUPPSV")</f>
        <v>SUPPSV</v>
      </c>
      <c r="B53" s="11" t="s">
        <v>195</v>
      </c>
      <c r="C53" s="18" t="s">
        <v>36</v>
      </c>
      <c r="D53" s="13" t="s">
        <v>193</v>
      </c>
      <c r="E53" s="14" t="s">
        <v>37</v>
      </c>
      <c r="F53" s="15"/>
      <c r="G53" s="15" t="s">
        <v>38</v>
      </c>
      <c r="H53" s="15" t="s">
        <v>38</v>
      </c>
      <c r="I53" s="16"/>
      <c r="J53" s="16" t="s">
        <v>33</v>
      </c>
      <c r="K53" s="16"/>
      <c r="L53" s="16"/>
      <c r="M53" s="17">
        <v>3</v>
      </c>
    </row>
    <row r="54" spans="1:13" ht="45" customHeight="1">
      <c r="A54" s="40" t="s">
        <v>196</v>
      </c>
      <c r="B54" s="41" t="s">
        <v>197</v>
      </c>
      <c r="C54" s="42" t="s">
        <v>198</v>
      </c>
      <c r="D54" s="42" t="s">
        <v>199</v>
      </c>
      <c r="E54" s="14" t="s">
        <v>200</v>
      </c>
      <c r="F54" s="45"/>
      <c r="G54" s="42" t="s">
        <v>201</v>
      </c>
      <c r="H54" s="42" t="s">
        <v>201</v>
      </c>
      <c r="I54" s="43"/>
      <c r="J54" s="16" t="s">
        <v>33</v>
      </c>
      <c r="K54" s="43"/>
      <c r="L54" s="43"/>
      <c r="M54" s="17">
        <v>4</v>
      </c>
    </row>
    <row r="55" spans="1:13" ht="33.75" customHeight="1">
      <c r="A55" s="40" t="s">
        <v>202</v>
      </c>
      <c r="B55" s="41" t="s">
        <v>203</v>
      </c>
      <c r="C55" s="42" t="s">
        <v>204</v>
      </c>
      <c r="D55" s="42" t="s">
        <v>205</v>
      </c>
      <c r="E55" s="14" t="s">
        <v>200</v>
      </c>
      <c r="F55" s="45"/>
      <c r="G55" s="42" t="s">
        <v>206</v>
      </c>
      <c r="H55" s="42" t="s">
        <v>206</v>
      </c>
      <c r="I55" s="43"/>
      <c r="J55" s="16" t="s">
        <v>33</v>
      </c>
      <c r="K55" s="43"/>
      <c r="L55" s="43"/>
      <c r="M55" s="17">
        <v>4</v>
      </c>
    </row>
    <row r="56" spans="1:13" ht="45" customHeight="1">
      <c r="A56" s="40" t="s">
        <v>207</v>
      </c>
      <c r="B56" s="46" t="s">
        <v>208</v>
      </c>
      <c r="C56" s="39" t="s">
        <v>209</v>
      </c>
      <c r="D56" s="42" t="s">
        <v>210</v>
      </c>
      <c r="E56" s="14" t="s">
        <v>200</v>
      </c>
      <c r="F56" s="45"/>
      <c r="G56" s="42" t="s">
        <v>211</v>
      </c>
      <c r="H56" s="42" t="s">
        <v>211</v>
      </c>
      <c r="I56" s="43"/>
      <c r="J56" s="16" t="s">
        <v>33</v>
      </c>
      <c r="K56" s="43"/>
      <c r="L56" s="43"/>
      <c r="M56" s="17">
        <v>4</v>
      </c>
    </row>
    <row r="57" spans="1:13" ht="112.5" customHeight="1">
      <c r="A57" s="40" t="s">
        <v>212</v>
      </c>
      <c r="B57" s="41" t="s">
        <v>213</v>
      </c>
      <c r="C57" s="42" t="s">
        <v>214</v>
      </c>
      <c r="D57" s="42" t="s">
        <v>215</v>
      </c>
      <c r="E57" s="14" t="s">
        <v>62</v>
      </c>
      <c r="F57" s="45"/>
      <c r="G57" s="15" t="s">
        <v>216</v>
      </c>
      <c r="H57" s="15" t="s">
        <v>216</v>
      </c>
      <c r="I57" s="43"/>
      <c r="J57" s="16" t="s">
        <v>33</v>
      </c>
      <c r="K57" s="43"/>
      <c r="L57" s="43"/>
      <c r="M57" s="17">
        <v>4</v>
      </c>
    </row>
    <row r="58" spans="1:13" ht="90" customHeight="1">
      <c r="A58" s="40" t="s">
        <v>217</v>
      </c>
      <c r="B58" s="41" t="s">
        <v>218</v>
      </c>
      <c r="C58" s="42" t="s">
        <v>36</v>
      </c>
      <c r="D58" s="42" t="s">
        <v>215</v>
      </c>
      <c r="E58" s="14" t="s">
        <v>37</v>
      </c>
      <c r="F58" s="45"/>
      <c r="G58" s="15" t="s">
        <v>38</v>
      </c>
      <c r="H58" s="15" t="s">
        <v>38</v>
      </c>
      <c r="I58" s="43"/>
      <c r="J58" s="16" t="s">
        <v>33</v>
      </c>
      <c r="K58" s="43"/>
      <c r="L58" s="43"/>
      <c r="M58" s="17">
        <v>4</v>
      </c>
    </row>
    <row r="59" spans="1:13" ht="56.25" customHeight="1">
      <c r="A59" s="40" t="s">
        <v>219</v>
      </c>
      <c r="B59" s="41" t="s">
        <v>220</v>
      </c>
      <c r="C59" s="42" t="s">
        <v>221</v>
      </c>
      <c r="D59" s="42" t="s">
        <v>222</v>
      </c>
      <c r="E59" s="14" t="s">
        <v>200</v>
      </c>
      <c r="F59" s="45"/>
      <c r="G59" s="42" t="s">
        <v>223</v>
      </c>
      <c r="H59" s="42" t="s">
        <v>223</v>
      </c>
      <c r="I59" s="43"/>
      <c r="J59" s="16" t="s">
        <v>33</v>
      </c>
      <c r="K59" s="43"/>
      <c r="L59" s="43"/>
      <c r="M59" s="17">
        <v>4</v>
      </c>
    </row>
    <row r="60" spans="1:13" ht="78.75" customHeight="1">
      <c r="A60" s="40" t="s">
        <v>224</v>
      </c>
      <c r="B60" s="41" t="s">
        <v>225</v>
      </c>
      <c r="C60" s="42" t="s">
        <v>226</v>
      </c>
      <c r="D60" s="42" t="s">
        <v>227</v>
      </c>
      <c r="E60" s="14" t="s">
        <v>62</v>
      </c>
      <c r="F60" s="45"/>
      <c r="G60" s="15" t="s">
        <v>228</v>
      </c>
      <c r="H60" s="15" t="s">
        <v>228</v>
      </c>
      <c r="I60" s="43"/>
      <c r="J60" s="16" t="s">
        <v>33</v>
      </c>
      <c r="K60" s="43"/>
      <c r="L60" s="43"/>
      <c r="M60" s="17">
        <v>4</v>
      </c>
    </row>
    <row r="61" spans="1:13" ht="90" customHeight="1">
      <c r="A61" s="40" t="s">
        <v>229</v>
      </c>
      <c r="B61" s="41" t="s">
        <v>230</v>
      </c>
      <c r="C61" s="47" t="s">
        <v>36</v>
      </c>
      <c r="D61" s="41" t="s">
        <v>227</v>
      </c>
      <c r="E61" s="14" t="s">
        <v>37</v>
      </c>
      <c r="F61" s="45"/>
      <c r="G61" s="15" t="s">
        <v>38</v>
      </c>
      <c r="H61" s="15" t="s">
        <v>38</v>
      </c>
      <c r="I61" s="43"/>
      <c r="J61" s="16" t="s">
        <v>33</v>
      </c>
      <c r="K61" s="43"/>
      <c r="L61" s="43"/>
      <c r="M61" s="17">
        <v>4</v>
      </c>
    </row>
    <row r="62" spans="1:13" ht="45" customHeight="1">
      <c r="A62" s="40" t="s">
        <v>231</v>
      </c>
      <c r="B62" s="41" t="s">
        <v>232</v>
      </c>
      <c r="C62" s="42" t="s">
        <v>233</v>
      </c>
      <c r="D62" s="42" t="s">
        <v>234</v>
      </c>
      <c r="E62" s="14" t="s">
        <v>200</v>
      </c>
      <c r="F62" s="45"/>
      <c r="G62" s="42" t="s">
        <v>235</v>
      </c>
      <c r="H62" s="42" t="s">
        <v>235</v>
      </c>
      <c r="I62" s="43"/>
      <c r="J62" s="16" t="s">
        <v>33</v>
      </c>
      <c r="K62" s="43"/>
      <c r="L62" s="43"/>
      <c r="M62" s="17">
        <v>4</v>
      </c>
    </row>
    <row r="63" spans="1:13" ht="90" customHeight="1">
      <c r="A63" s="10" t="s">
        <v>236</v>
      </c>
      <c r="B63" s="11" t="s">
        <v>237</v>
      </c>
      <c r="C63" s="12" t="s">
        <v>238</v>
      </c>
      <c r="D63" s="13" t="s">
        <v>239</v>
      </c>
      <c r="E63" s="14" t="s">
        <v>62</v>
      </c>
      <c r="F63" s="15"/>
      <c r="G63" s="15" t="s">
        <v>240</v>
      </c>
      <c r="H63" s="15" t="s">
        <v>240</v>
      </c>
      <c r="I63" s="16"/>
      <c r="J63" s="16" t="s">
        <v>33</v>
      </c>
      <c r="K63" s="16"/>
      <c r="L63" s="16"/>
      <c r="M63" s="17">
        <v>4</v>
      </c>
    </row>
    <row r="64" spans="1:13" ht="67.5" customHeight="1">
      <c r="A64" s="48" t="s">
        <v>241</v>
      </c>
      <c r="B64" s="1" t="s">
        <v>242</v>
      </c>
      <c r="C64" s="13" t="s">
        <v>243</v>
      </c>
      <c r="D64" s="13" t="s">
        <v>244</v>
      </c>
      <c r="E64" s="14" t="s">
        <v>37</v>
      </c>
      <c r="F64" s="13"/>
      <c r="G64" s="13" t="s">
        <v>245</v>
      </c>
      <c r="H64" s="13" t="s">
        <v>245</v>
      </c>
      <c r="I64" s="43"/>
      <c r="J64" s="16" t="s">
        <v>33</v>
      </c>
      <c r="K64" s="16"/>
      <c r="L64" s="16"/>
      <c r="M64" s="17">
        <v>5</v>
      </c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49" t="s">
        <v>246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5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51"/>
      <c r="B75" s="52"/>
      <c r="C75" s="50"/>
      <c r="D75" s="50"/>
      <c r="E75" s="50"/>
      <c r="F75" s="50"/>
      <c r="G75" s="50"/>
      <c r="H75" s="50"/>
      <c r="I75" s="2"/>
      <c r="J75" s="2"/>
      <c r="K75" s="2"/>
      <c r="L75" s="2"/>
      <c r="M75" s="50"/>
    </row>
    <row r="76" spans="1:13">
      <c r="A76" s="51"/>
      <c r="B76" s="52"/>
      <c r="C76" s="50"/>
      <c r="D76" s="50"/>
      <c r="E76" s="50"/>
      <c r="F76" s="50"/>
      <c r="G76" s="50"/>
      <c r="H76" s="50"/>
      <c r="I76" s="2"/>
      <c r="J76" s="2"/>
      <c r="K76" s="2"/>
      <c r="L76" s="2"/>
      <c r="M76" s="50"/>
    </row>
  </sheetData>
  <mergeCells count="5">
    <mergeCell ref="A1:H1"/>
    <mergeCell ref="A2:H2"/>
    <mergeCell ref="C3:H3"/>
    <mergeCell ref="C4:H4"/>
    <mergeCell ref="A5:H5"/>
  </mergeCells>
  <hyperlinks>
    <hyperlink ref="A7" location="AE!A1" display="AE" xr:uid="{00000000-0004-0000-0000-000000000000}"/>
    <hyperlink ref="A8" location="SUPPAE!A1" display="SUPPAE" xr:uid="{00000000-0004-0000-0000-000001000000}"/>
    <hyperlink ref="A9" location="CE!A1" display="CE" xr:uid="{00000000-0004-0000-0000-000002000000}"/>
    <hyperlink ref="A10" location="CM!A1" display="CM" xr:uid="{00000000-0004-0000-0000-000003000000}"/>
    <hyperlink ref="A11" location="SUPPCM!A1" display="SUPPCM" xr:uid="{00000000-0004-0000-0000-000004000000}"/>
    <hyperlink ref="A12" location="CO!A1" display="CO!A1" xr:uid="{00000000-0004-0000-0000-000005000000}"/>
    <hyperlink ref="A13" location="CP!A1" display="CP" xr:uid="{00000000-0004-0000-0000-000006000000}"/>
    <hyperlink ref="A14" location="SUPPCP!A1" display="SUPPCP" xr:uid="{00000000-0004-0000-0000-000007000000}"/>
    <hyperlink ref="A17" location="DM!A1" display="DM" xr:uid="{00000000-0004-0000-0000-000008000000}"/>
    <hyperlink ref="A18" location="SUPPDM!A1" display="SUPPDM" xr:uid="{00000000-0004-0000-0000-000009000000}"/>
    <hyperlink ref="A19" location="DS!A1" display="DS" xr:uid="{00000000-0004-0000-0000-00000A000000}"/>
    <hyperlink ref="A20" location="SUPPDS!A1" display="SUPPDS" xr:uid="{00000000-0004-0000-0000-00000B000000}"/>
    <hyperlink ref="A21" location="DV!A1" display="DV!A1" xr:uid="{00000000-0004-0000-0000-00000C000000}"/>
    <hyperlink ref="A22" location="SUPPDV!A1" display="SUPPDV" xr:uid="{00000000-0004-0000-0000-00000D000000}"/>
    <hyperlink ref="A23" location="EC!A1" display="EC" xr:uid="{00000000-0004-0000-0000-00000E000000}"/>
    <hyperlink ref="A24" location="SUPPEC!A1" display="SUPPEC" xr:uid="{00000000-0004-0000-0000-00000F000000}"/>
    <hyperlink ref="A25" location="EG!A1" display="EG" xr:uid="{00000000-0004-0000-0000-000010000000}"/>
    <hyperlink ref="A27" location="EX!A1" display="EX" xr:uid="{00000000-0004-0000-0000-000011000000}"/>
    <hyperlink ref="A28" location="GF!A1" display="GF" xr:uid="{00000000-0004-0000-0000-000012000000}"/>
    <hyperlink ref="A29" location="SUPPGF!A1" display="SUPPGF" xr:uid="{00000000-0004-0000-0000-000013000000}"/>
    <hyperlink ref="A30" location="IE!A1" display="IE" xr:uid="{00000000-0004-0000-0000-000014000000}"/>
    <hyperlink ref="A32" location="LB!A1" display="LB" xr:uid="{00000000-0004-0000-0000-000015000000}"/>
    <hyperlink ref="A33" location="SUPPLB!A1" display="SUPPLB" xr:uid="{00000000-0004-0000-0000-000016000000}"/>
    <hyperlink ref="A34" location="LC!A1" display="LC" xr:uid="{00000000-0004-0000-0000-000017000000}"/>
    <hyperlink ref="A35" location="SUPPLC!A1" display="SUPPLC" xr:uid="{00000000-0004-0000-0000-000018000000}"/>
    <hyperlink ref="A36" location="MB!A1" display="MB" xr:uid="{00000000-0004-0000-0000-000019000000}"/>
    <hyperlink ref="A37" location="SUPPMB!A1" display="SUPPMB" xr:uid="{00000000-0004-0000-0000-00001A000000}"/>
    <hyperlink ref="A38" location="MH!A1" display="MH" xr:uid="{00000000-0004-0000-0000-00001B000000}"/>
    <hyperlink ref="A39" location="SUPPMH!A1" display="SUPPMH" xr:uid="{00000000-0004-0000-0000-00001C000000}"/>
    <hyperlink ref="A40" location="MI!A1" display="MI" xr:uid="{00000000-0004-0000-0000-00001D000000}"/>
    <hyperlink ref="A41" location="PE!A1" display="PE" xr:uid="{00000000-0004-0000-0000-00001E000000}"/>
    <hyperlink ref="A43" location="PR!A1" display="PR" xr:uid="{00000000-0004-0000-0000-00001F000000}"/>
    <hyperlink ref="A45" location="RP!A1" display="RP" xr:uid="{00000000-0004-0000-0000-000020000000}"/>
    <hyperlink ref="A46" location="SUPPRP!A1" display="SUPPRP" xr:uid="{00000000-0004-0000-0000-000021000000}"/>
    <hyperlink ref="A47" location="RS!A1" display="RS" xr:uid="{00000000-0004-0000-0000-000022000000}"/>
    <hyperlink ref="A48" location="SUPPRS!A1" display="SUPPRS" xr:uid="{00000000-0004-0000-0000-000023000000}"/>
    <hyperlink ref="A49" location="SE!A1" display="SE" xr:uid="{00000000-0004-0000-0000-000024000000}"/>
    <hyperlink ref="A54" location="TA!A1" display="TA" xr:uid="{00000000-0004-0000-0000-000025000000}"/>
    <hyperlink ref="A55" location="TE!A1" display="TE" xr:uid="{00000000-0004-0000-0000-000026000000}"/>
    <hyperlink ref="A56" location="TI!A1" display="TI" xr:uid="{00000000-0004-0000-0000-000027000000}"/>
    <hyperlink ref="A57" location="TR!A1" display="TR" xr:uid="{00000000-0004-0000-0000-000028000000}"/>
    <hyperlink ref="A58" location="SUPPTR!A1" display="SUPPTR" xr:uid="{00000000-0004-0000-0000-000029000000}"/>
    <hyperlink ref="A59" location="TS!A1" display="TS" xr:uid="{00000000-0004-0000-0000-00002A000000}"/>
    <hyperlink ref="A60" location="TU!A1" display="TU" xr:uid="{00000000-0004-0000-0000-00002B000000}"/>
    <hyperlink ref="A61" location="SUPPTU!A1" display="SUPPTU" xr:uid="{00000000-0004-0000-0000-00002C000000}"/>
    <hyperlink ref="A62" location="TV!A1" display="TV" xr:uid="{00000000-0004-0000-0000-00002D000000}"/>
    <hyperlink ref="A63" location="VS!A1" display="VS" xr:uid="{00000000-0004-0000-0000-00002E000000}"/>
    <hyperlink ref="A64" location="RELREC!A1" display="RELREC!A1" xr:uid="{00000000-0004-0000-0000-00002F000000}"/>
    <hyperlink ref="A66" location="CODELIST!A1" display="CODELIST" xr:uid="{00000000-0004-0000-0000-00003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tabSelected="1" workbookViewId="0">
      <selection activeCell="G28" sqref="G28"/>
    </sheetView>
  </sheetViews>
  <sheetFormatPr defaultRowHeight="15"/>
  <sheetData>
    <row r="1" spans="1:10" ht="15" customHeight="1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15" customHeight="1">
      <c r="A2" s="57" t="s">
        <v>1</v>
      </c>
      <c r="B2" s="55"/>
      <c r="C2" s="56"/>
      <c r="D2" s="54">
        <f>CONTENT!$B$3</f>
        <v>0</v>
      </c>
      <c r="E2" s="55"/>
      <c r="F2" s="55"/>
      <c r="G2" s="55"/>
      <c r="H2" s="55"/>
      <c r="I2" s="55"/>
      <c r="J2" s="56"/>
    </row>
    <row r="3" spans="1:10" ht="15" customHeight="1">
      <c r="A3" s="57" t="s">
        <v>2</v>
      </c>
      <c r="B3" s="55"/>
      <c r="C3" s="56"/>
      <c r="D3" s="54" t="str">
        <f>CONTENT!$B$4</f>
        <v>3.4</v>
      </c>
      <c r="E3" s="55"/>
      <c r="F3" s="55"/>
      <c r="G3" s="55"/>
      <c r="H3" s="55"/>
      <c r="I3" s="55"/>
      <c r="J3" s="56"/>
    </row>
    <row r="4" spans="1:10" ht="15" customHeight="1">
      <c r="A4" s="57" t="s">
        <v>3</v>
      </c>
      <c r="B4" s="55"/>
      <c r="C4" s="56"/>
      <c r="D4" s="54" t="str">
        <f>CONTENT!$B$7</f>
        <v>Adverse Events</v>
      </c>
      <c r="E4" s="55"/>
      <c r="F4" s="55"/>
      <c r="G4" s="55"/>
      <c r="H4" s="55"/>
      <c r="I4" s="55"/>
      <c r="J4" s="56"/>
    </row>
    <row r="5" spans="1:10" ht="15" customHeight="1">
      <c r="A5" s="57" t="s">
        <v>4</v>
      </c>
      <c r="B5" s="55"/>
      <c r="C5" s="56"/>
      <c r="D5" s="54" t="str">
        <f>CONTENT!$C$7</f>
        <v>One record per adverse event per subject</v>
      </c>
      <c r="E5" s="55"/>
      <c r="F5" s="55"/>
      <c r="G5" s="55"/>
      <c r="H5" s="55"/>
      <c r="I5" s="55"/>
      <c r="J5" s="56"/>
    </row>
    <row r="6" spans="1:10" ht="15" customHeight="1">
      <c r="A6" s="57" t="s">
        <v>5</v>
      </c>
      <c r="B6" s="55"/>
      <c r="C6" s="56"/>
      <c r="D6" s="54" t="str">
        <f>CONTENT!$D$7</f>
        <v>ae.sas</v>
      </c>
      <c r="E6" s="55"/>
      <c r="F6" s="55"/>
      <c r="G6" s="55"/>
      <c r="H6" s="55"/>
      <c r="I6" s="55"/>
      <c r="J6" s="56"/>
    </row>
    <row r="7" spans="1:10" ht="15" customHeight="1">
      <c r="A7" s="57" t="s">
        <v>6</v>
      </c>
      <c r="B7" s="55"/>
      <c r="C7" s="56"/>
      <c r="D7" s="54" t="str">
        <f>[1]CONTENT!$E$7</f>
        <v>Events</v>
      </c>
      <c r="E7" s="55"/>
      <c r="F7" s="55"/>
      <c r="G7" s="55"/>
      <c r="H7" s="55"/>
      <c r="I7" s="55"/>
      <c r="J7" s="56"/>
    </row>
    <row r="8" spans="1:10" ht="15" customHeight="1">
      <c r="A8" s="57" t="s">
        <v>7</v>
      </c>
      <c r="B8" s="55"/>
      <c r="C8" s="56"/>
      <c r="D8" s="54">
        <f>CONTENT!F7</f>
        <v>0</v>
      </c>
      <c r="E8" s="55"/>
      <c r="F8" s="55"/>
      <c r="G8" s="55"/>
      <c r="H8" s="55"/>
      <c r="I8" s="55"/>
      <c r="J8" s="56"/>
    </row>
    <row r="9" spans="1:10" ht="15" customHeight="1">
      <c r="A9" s="57" t="s">
        <v>8</v>
      </c>
      <c r="B9" s="55"/>
      <c r="C9" s="56"/>
      <c r="D9" s="54" t="str">
        <f>CONTENT!G7</f>
        <v>STUDYID, USUBJID, AETERM, AERELNST, AESTDTC, AEENDTC</v>
      </c>
      <c r="E9" s="55"/>
      <c r="F9" s="55"/>
      <c r="G9" s="55"/>
      <c r="H9" s="55"/>
      <c r="I9" s="55"/>
      <c r="J9" s="56"/>
    </row>
    <row r="10" spans="1:10" ht="15" customHeight="1">
      <c r="A10" s="57" t="s">
        <v>9</v>
      </c>
      <c r="B10" s="55"/>
      <c r="C10" s="56"/>
      <c r="D10" s="54" t="str">
        <f>CONTENT!$H$7</f>
        <v>STUDYID, USUBJID, AETERM, AERELNST, AESTDTC, AEENDTC</v>
      </c>
      <c r="E10" s="55"/>
      <c r="F10" s="55"/>
      <c r="G10" s="55"/>
      <c r="H10" s="55"/>
      <c r="I10" s="55"/>
      <c r="J10" s="56"/>
    </row>
    <row r="11" spans="1:10" ht="15" customHeight="1">
      <c r="A11" s="57" t="s">
        <v>10</v>
      </c>
      <c r="B11" s="55"/>
      <c r="C11" s="56"/>
      <c r="D11" s="54">
        <f>CONTENT!$I$7</f>
        <v>0</v>
      </c>
      <c r="E11" s="55"/>
      <c r="F11" s="55"/>
      <c r="G11" s="55"/>
      <c r="H11" s="55"/>
      <c r="I11" s="55"/>
      <c r="J11" s="56"/>
    </row>
  </sheetData>
  <mergeCells count="21">
    <mergeCell ref="A1:J1"/>
    <mergeCell ref="D6:J6"/>
    <mergeCell ref="A9:C9"/>
    <mergeCell ref="D2:J2"/>
    <mergeCell ref="D11:J11"/>
    <mergeCell ref="A11:C11"/>
    <mergeCell ref="A6:C6"/>
    <mergeCell ref="D7:J7"/>
    <mergeCell ref="A7:C7"/>
    <mergeCell ref="A2:C2"/>
    <mergeCell ref="A5:C5"/>
    <mergeCell ref="A8:C8"/>
    <mergeCell ref="D10:J10"/>
    <mergeCell ref="A4:C4"/>
    <mergeCell ref="A10:C10"/>
    <mergeCell ref="D4:J4"/>
    <mergeCell ref="D9:J9"/>
    <mergeCell ref="D3:J3"/>
    <mergeCell ref="D8:J8"/>
    <mergeCell ref="A3:C3"/>
    <mergeCell ref="D5:J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3:K43"/>
  <sheetViews>
    <sheetView workbookViewId="0"/>
  </sheetViews>
  <sheetFormatPr defaultRowHeight="15"/>
  <cols>
    <col min="1" max="1" width="11.28515625" bestFit="1" customWidth="1"/>
    <col min="2" max="2" width="5.28515625" bestFit="1" customWidth="1"/>
    <col min="3" max="3" width="4.28515625" bestFit="1" customWidth="1"/>
    <col min="4" max="4" width="16.7109375" bestFit="1" customWidth="1"/>
    <col min="5" max="5" width="35" bestFit="1" customWidth="1"/>
    <col min="7" max="7" width="11.28515625" bestFit="1" customWidth="1"/>
    <col min="8" max="8" width="5.5703125" bestFit="1" customWidth="1"/>
    <col min="9" max="9" width="13.140625" bestFit="1" customWidth="1"/>
    <col min="10" max="10" width="14" bestFit="1" customWidth="1"/>
    <col min="11" max="11" width="55.28515625" bestFit="1" customWidth="1"/>
  </cols>
  <sheetData>
    <row r="13" spans="1:11">
      <c r="A13" s="53" t="s">
        <v>247</v>
      </c>
      <c r="B13" s="53" t="s">
        <v>248</v>
      </c>
      <c r="C13" s="53" t="s">
        <v>249</v>
      </c>
      <c r="D13" s="53" t="s">
        <v>250</v>
      </c>
      <c r="E13" s="53" t="s">
        <v>251</v>
      </c>
      <c r="F13" s="53" t="s">
        <v>252</v>
      </c>
      <c r="G13" s="53" t="s">
        <v>253</v>
      </c>
      <c r="H13" s="53" t="s">
        <v>254</v>
      </c>
      <c r="I13" s="53" t="s">
        <v>255</v>
      </c>
      <c r="J13" s="53" t="s">
        <v>256</v>
      </c>
      <c r="K13" s="53" t="s">
        <v>257</v>
      </c>
    </row>
    <row r="14" spans="1:11">
      <c r="A14" t="s">
        <v>258</v>
      </c>
      <c r="B14" t="s">
        <v>259</v>
      </c>
      <c r="C14">
        <v>19</v>
      </c>
      <c r="E14" t="s">
        <v>260</v>
      </c>
      <c r="F14" t="s">
        <v>12</v>
      </c>
      <c r="G14" t="s">
        <v>261</v>
      </c>
      <c r="H14" t="s">
        <v>262</v>
      </c>
      <c r="I14" t="s">
        <v>263</v>
      </c>
      <c r="J14">
        <v>1</v>
      </c>
      <c r="K14" t="s">
        <v>264</v>
      </c>
    </row>
    <row r="15" spans="1:11">
      <c r="A15" t="s">
        <v>265</v>
      </c>
      <c r="B15" t="s">
        <v>259</v>
      </c>
      <c r="C15">
        <v>2</v>
      </c>
      <c r="E15" t="s">
        <v>266</v>
      </c>
      <c r="F15" t="s">
        <v>267</v>
      </c>
      <c r="G15" t="s">
        <v>261</v>
      </c>
      <c r="H15" t="s">
        <v>262</v>
      </c>
      <c r="I15" t="s">
        <v>263</v>
      </c>
      <c r="J15">
        <v>2</v>
      </c>
      <c r="K15" t="s">
        <v>268</v>
      </c>
    </row>
    <row r="16" spans="1:11">
      <c r="A16" t="s">
        <v>269</v>
      </c>
      <c r="B16" t="s">
        <v>259</v>
      </c>
      <c r="C16">
        <v>26</v>
      </c>
      <c r="E16" t="s">
        <v>270</v>
      </c>
      <c r="F16" t="s">
        <v>271</v>
      </c>
      <c r="G16" t="s">
        <v>261</v>
      </c>
      <c r="H16" t="s">
        <v>262</v>
      </c>
      <c r="I16" t="s">
        <v>263</v>
      </c>
      <c r="J16">
        <v>3</v>
      </c>
      <c r="K16" t="s">
        <v>272</v>
      </c>
    </row>
    <row r="17" spans="1:11">
      <c r="A17" t="s">
        <v>273</v>
      </c>
      <c r="B17" t="s">
        <v>259</v>
      </c>
      <c r="C17">
        <v>3</v>
      </c>
      <c r="E17" t="s">
        <v>274</v>
      </c>
      <c r="F17" t="s">
        <v>267</v>
      </c>
      <c r="G17" t="s">
        <v>261</v>
      </c>
      <c r="H17" t="s">
        <v>262</v>
      </c>
      <c r="I17" t="s">
        <v>263</v>
      </c>
      <c r="J17">
        <v>4</v>
      </c>
      <c r="K17" t="s">
        <v>275</v>
      </c>
    </row>
    <row r="18" spans="1:11">
      <c r="A18" t="s">
        <v>276</v>
      </c>
      <c r="B18" t="s">
        <v>259</v>
      </c>
      <c r="C18">
        <v>10</v>
      </c>
      <c r="D18" t="s">
        <v>277</v>
      </c>
      <c r="E18" t="s">
        <v>278</v>
      </c>
      <c r="F18" t="s">
        <v>271</v>
      </c>
      <c r="G18" t="s">
        <v>261</v>
      </c>
      <c r="H18" t="s">
        <v>279</v>
      </c>
      <c r="I18" t="s">
        <v>263</v>
      </c>
      <c r="J18">
        <v>5</v>
      </c>
    </row>
    <row r="19" spans="1:11">
      <c r="A19" t="s">
        <v>280</v>
      </c>
      <c r="B19" t="s">
        <v>259</v>
      </c>
      <c r="C19">
        <v>10</v>
      </c>
      <c r="D19" t="s">
        <v>277</v>
      </c>
      <c r="E19" t="s">
        <v>281</v>
      </c>
      <c r="F19" t="s">
        <v>271</v>
      </c>
      <c r="G19" t="s">
        <v>261</v>
      </c>
      <c r="H19" t="s">
        <v>279</v>
      </c>
      <c r="I19" t="s">
        <v>263</v>
      </c>
      <c r="J19">
        <v>6</v>
      </c>
    </row>
    <row r="20" spans="1:11">
      <c r="A20" t="s">
        <v>282</v>
      </c>
      <c r="B20" t="s">
        <v>259</v>
      </c>
      <c r="C20">
        <v>16</v>
      </c>
      <c r="D20" t="s">
        <v>277</v>
      </c>
      <c r="E20" t="s">
        <v>283</v>
      </c>
      <c r="F20" t="s">
        <v>271</v>
      </c>
      <c r="G20" t="s">
        <v>261</v>
      </c>
      <c r="H20" t="s">
        <v>279</v>
      </c>
      <c r="I20" t="s">
        <v>263</v>
      </c>
      <c r="J20">
        <v>7</v>
      </c>
    </row>
    <row r="21" spans="1:11">
      <c r="A21" t="s">
        <v>284</v>
      </c>
      <c r="B21" t="s">
        <v>259</v>
      </c>
      <c r="C21">
        <v>10</v>
      </c>
      <c r="D21" t="s">
        <v>277</v>
      </c>
      <c r="E21" t="s">
        <v>285</v>
      </c>
      <c r="F21" t="s">
        <v>271</v>
      </c>
      <c r="G21" t="s">
        <v>261</v>
      </c>
      <c r="H21" t="s">
        <v>279</v>
      </c>
      <c r="I21" t="s">
        <v>263</v>
      </c>
      <c r="J21">
        <v>8</v>
      </c>
    </row>
    <row r="22" spans="1:11">
      <c r="A22" t="s">
        <v>286</v>
      </c>
      <c r="B22" t="s">
        <v>259</v>
      </c>
      <c r="C22">
        <v>5</v>
      </c>
      <c r="D22" t="s">
        <v>287</v>
      </c>
      <c r="E22" t="s">
        <v>288</v>
      </c>
      <c r="F22" t="s">
        <v>267</v>
      </c>
      <c r="G22" t="s">
        <v>261</v>
      </c>
      <c r="H22" t="s">
        <v>279</v>
      </c>
      <c r="I22" t="s">
        <v>263</v>
      </c>
      <c r="J22">
        <v>10</v>
      </c>
      <c r="K22" t="s">
        <v>289</v>
      </c>
    </row>
    <row r="23" spans="1:11">
      <c r="A23" t="s">
        <v>290</v>
      </c>
      <c r="B23" t="s">
        <v>259</v>
      </c>
      <c r="C23">
        <v>10</v>
      </c>
      <c r="D23" t="s">
        <v>277</v>
      </c>
      <c r="E23" t="s">
        <v>291</v>
      </c>
      <c r="F23" t="s">
        <v>292</v>
      </c>
      <c r="G23" t="s">
        <v>293</v>
      </c>
      <c r="H23" t="s">
        <v>279</v>
      </c>
      <c r="I23" t="s">
        <v>263</v>
      </c>
      <c r="J23">
        <v>11</v>
      </c>
      <c r="K23" t="s">
        <v>294</v>
      </c>
    </row>
    <row r="24" spans="1:11">
      <c r="A24" t="s">
        <v>295</v>
      </c>
      <c r="B24" t="s">
        <v>259</v>
      </c>
      <c r="C24">
        <v>10</v>
      </c>
      <c r="D24" t="s">
        <v>277</v>
      </c>
      <c r="E24" t="s">
        <v>296</v>
      </c>
      <c r="F24" t="s">
        <v>271</v>
      </c>
      <c r="G24" t="s">
        <v>261</v>
      </c>
      <c r="H24" t="s">
        <v>279</v>
      </c>
      <c r="I24" t="s">
        <v>263</v>
      </c>
      <c r="J24">
        <v>12</v>
      </c>
    </row>
    <row r="25" spans="1:11">
      <c r="A25" t="s">
        <v>297</v>
      </c>
      <c r="B25" t="s">
        <v>259</v>
      </c>
      <c r="C25">
        <v>10</v>
      </c>
      <c r="D25" t="s">
        <v>277</v>
      </c>
      <c r="E25" t="s">
        <v>298</v>
      </c>
      <c r="F25" t="s">
        <v>292</v>
      </c>
      <c r="G25" t="s">
        <v>293</v>
      </c>
      <c r="H25" t="s">
        <v>279</v>
      </c>
      <c r="I25" t="s">
        <v>263</v>
      </c>
      <c r="J25">
        <v>13</v>
      </c>
    </row>
    <row r="26" spans="1:11">
      <c r="A26" t="s">
        <v>299</v>
      </c>
      <c r="B26" t="s">
        <v>259</v>
      </c>
      <c r="C26">
        <v>1</v>
      </c>
      <c r="D26" t="s">
        <v>300</v>
      </c>
      <c r="E26" t="s">
        <v>301</v>
      </c>
      <c r="F26" t="s">
        <v>271</v>
      </c>
      <c r="G26" t="s">
        <v>261</v>
      </c>
      <c r="H26" t="s">
        <v>279</v>
      </c>
      <c r="I26" t="s">
        <v>263</v>
      </c>
      <c r="J26">
        <v>14</v>
      </c>
    </row>
    <row r="27" spans="1:11">
      <c r="A27" t="s">
        <v>302</v>
      </c>
      <c r="B27" t="s">
        <v>259</v>
      </c>
      <c r="C27">
        <v>2</v>
      </c>
      <c r="E27" t="s">
        <v>303</v>
      </c>
      <c r="F27" t="s">
        <v>267</v>
      </c>
      <c r="G27" t="s">
        <v>261</v>
      </c>
      <c r="H27" t="s">
        <v>262</v>
      </c>
      <c r="I27" t="s">
        <v>263</v>
      </c>
      <c r="J27">
        <v>15</v>
      </c>
    </row>
    <row r="28" spans="1:11">
      <c r="A28" t="s">
        <v>304</v>
      </c>
      <c r="B28" t="s">
        <v>259</v>
      </c>
      <c r="C28">
        <v>1</v>
      </c>
      <c r="D28" t="s">
        <v>277</v>
      </c>
      <c r="E28" t="s">
        <v>305</v>
      </c>
      <c r="F28" t="s">
        <v>292</v>
      </c>
      <c r="G28" t="s">
        <v>293</v>
      </c>
      <c r="H28" t="s">
        <v>306</v>
      </c>
      <c r="I28" t="s">
        <v>263</v>
      </c>
      <c r="J28">
        <v>18</v>
      </c>
      <c r="K28" t="s">
        <v>307</v>
      </c>
    </row>
    <row r="29" spans="1:11">
      <c r="A29" t="s">
        <v>308</v>
      </c>
      <c r="B29" t="s">
        <v>309</v>
      </c>
      <c r="C29">
        <v>8</v>
      </c>
      <c r="E29" t="s">
        <v>310</v>
      </c>
      <c r="F29" t="s">
        <v>292</v>
      </c>
      <c r="G29" t="s">
        <v>293</v>
      </c>
      <c r="H29" t="s">
        <v>279</v>
      </c>
      <c r="I29" t="s">
        <v>263</v>
      </c>
      <c r="J29">
        <v>19</v>
      </c>
      <c r="K29" t="s">
        <v>311</v>
      </c>
    </row>
    <row r="30" spans="1:11">
      <c r="A30" t="s">
        <v>312</v>
      </c>
      <c r="B30" t="s">
        <v>259</v>
      </c>
      <c r="C30">
        <v>1</v>
      </c>
      <c r="D30" t="s">
        <v>313</v>
      </c>
      <c r="E30" t="s">
        <v>314</v>
      </c>
      <c r="F30" t="s">
        <v>292</v>
      </c>
      <c r="G30" t="s">
        <v>293</v>
      </c>
      <c r="H30" t="s">
        <v>262</v>
      </c>
      <c r="I30" t="s">
        <v>263</v>
      </c>
      <c r="J30">
        <v>21</v>
      </c>
      <c r="K30" t="s">
        <v>315</v>
      </c>
    </row>
    <row r="31" spans="1:11">
      <c r="A31" t="s">
        <v>316</v>
      </c>
      <c r="B31" t="s">
        <v>259</v>
      </c>
      <c r="C31">
        <v>5</v>
      </c>
      <c r="D31" t="s">
        <v>317</v>
      </c>
      <c r="E31" t="s">
        <v>318</v>
      </c>
      <c r="F31" t="s">
        <v>292</v>
      </c>
      <c r="G31" t="s">
        <v>293</v>
      </c>
      <c r="H31" t="s">
        <v>279</v>
      </c>
      <c r="I31" t="s">
        <v>263</v>
      </c>
      <c r="J31">
        <v>22</v>
      </c>
      <c r="K31" t="s">
        <v>319</v>
      </c>
    </row>
    <row r="32" spans="1:11">
      <c r="A32" t="s">
        <v>320</v>
      </c>
      <c r="B32" t="s">
        <v>259</v>
      </c>
      <c r="C32">
        <v>22</v>
      </c>
      <c r="D32" t="s">
        <v>321</v>
      </c>
      <c r="E32" t="s">
        <v>322</v>
      </c>
      <c r="F32" t="s">
        <v>292</v>
      </c>
      <c r="G32" t="s">
        <v>293</v>
      </c>
      <c r="H32" t="s">
        <v>306</v>
      </c>
      <c r="I32" t="s">
        <v>263</v>
      </c>
      <c r="J32">
        <v>23</v>
      </c>
      <c r="K32" t="s">
        <v>323</v>
      </c>
    </row>
    <row r="33" spans="1:11">
      <c r="A33" t="s">
        <v>324</v>
      </c>
      <c r="B33" t="s">
        <v>259</v>
      </c>
      <c r="C33">
        <v>6</v>
      </c>
      <c r="E33" t="s">
        <v>325</v>
      </c>
      <c r="F33" t="s">
        <v>267</v>
      </c>
      <c r="G33" t="s">
        <v>261</v>
      </c>
      <c r="H33" t="s">
        <v>279</v>
      </c>
      <c r="I33" t="s">
        <v>263</v>
      </c>
      <c r="J33">
        <v>24</v>
      </c>
    </row>
    <row r="34" spans="1:11">
      <c r="A34" t="s">
        <v>326</v>
      </c>
      <c r="B34" t="s">
        <v>259</v>
      </c>
      <c r="C34">
        <v>6</v>
      </c>
      <c r="E34" t="s">
        <v>327</v>
      </c>
      <c r="F34" t="s">
        <v>267</v>
      </c>
      <c r="G34" t="s">
        <v>261</v>
      </c>
      <c r="H34" t="s">
        <v>279</v>
      </c>
      <c r="I34" t="s">
        <v>263</v>
      </c>
      <c r="J34">
        <v>25</v>
      </c>
    </row>
    <row r="35" spans="1:11">
      <c r="A35" t="s">
        <v>328</v>
      </c>
      <c r="B35" t="s">
        <v>259</v>
      </c>
      <c r="C35">
        <v>6</v>
      </c>
      <c r="E35" t="s">
        <v>329</v>
      </c>
      <c r="F35" t="s">
        <v>271</v>
      </c>
      <c r="G35" t="s">
        <v>261</v>
      </c>
      <c r="H35" t="s">
        <v>279</v>
      </c>
      <c r="I35" t="s">
        <v>263</v>
      </c>
      <c r="J35">
        <v>26</v>
      </c>
    </row>
    <row r="36" spans="1:11">
      <c r="A36" t="s">
        <v>330</v>
      </c>
      <c r="B36" t="s">
        <v>259</v>
      </c>
      <c r="C36">
        <v>6</v>
      </c>
      <c r="E36" t="s">
        <v>331</v>
      </c>
      <c r="F36" t="s">
        <v>271</v>
      </c>
      <c r="G36" t="s">
        <v>261</v>
      </c>
      <c r="H36" t="s">
        <v>279</v>
      </c>
      <c r="I36" t="s">
        <v>263</v>
      </c>
      <c r="J36">
        <v>27</v>
      </c>
    </row>
    <row r="37" spans="1:11">
      <c r="A37" t="s">
        <v>332</v>
      </c>
      <c r="B37" t="s">
        <v>259</v>
      </c>
      <c r="C37">
        <v>1</v>
      </c>
      <c r="D37" t="s">
        <v>333</v>
      </c>
      <c r="E37" t="s">
        <v>334</v>
      </c>
      <c r="F37" t="s">
        <v>267</v>
      </c>
      <c r="G37" t="s">
        <v>261</v>
      </c>
      <c r="H37" t="s">
        <v>279</v>
      </c>
      <c r="I37" t="s">
        <v>263</v>
      </c>
      <c r="J37">
        <v>28</v>
      </c>
    </row>
    <row r="38" spans="1:11">
      <c r="A38" t="s">
        <v>335</v>
      </c>
      <c r="B38" t="s">
        <v>259</v>
      </c>
      <c r="C38">
        <v>1</v>
      </c>
      <c r="E38" t="s">
        <v>336</v>
      </c>
      <c r="F38" t="s">
        <v>267</v>
      </c>
      <c r="G38" t="s">
        <v>261</v>
      </c>
      <c r="H38" t="s">
        <v>279</v>
      </c>
      <c r="I38" t="s">
        <v>263</v>
      </c>
      <c r="J38">
        <v>29</v>
      </c>
    </row>
    <row r="39" spans="1:11">
      <c r="A39" t="s">
        <v>337</v>
      </c>
      <c r="B39" t="s">
        <v>259</v>
      </c>
      <c r="C39">
        <v>3</v>
      </c>
      <c r="E39" t="s">
        <v>338</v>
      </c>
      <c r="F39" t="s">
        <v>267</v>
      </c>
      <c r="G39" t="s">
        <v>261</v>
      </c>
      <c r="H39" t="s">
        <v>262</v>
      </c>
      <c r="I39" t="s">
        <v>263</v>
      </c>
      <c r="J39">
        <v>30</v>
      </c>
    </row>
    <row r="40" spans="1:11">
      <c r="A40" t="s">
        <v>339</v>
      </c>
      <c r="B40" t="s">
        <v>259</v>
      </c>
      <c r="C40">
        <v>10</v>
      </c>
      <c r="E40" t="s">
        <v>340</v>
      </c>
      <c r="F40" t="s">
        <v>271</v>
      </c>
      <c r="G40" t="s">
        <v>261</v>
      </c>
      <c r="H40" t="s">
        <v>306</v>
      </c>
      <c r="I40" t="s">
        <v>263</v>
      </c>
      <c r="J40">
        <v>31</v>
      </c>
      <c r="K40" t="s">
        <v>341</v>
      </c>
    </row>
    <row r="41" spans="1:11">
      <c r="A41" t="s">
        <v>342</v>
      </c>
      <c r="B41" t="s">
        <v>309</v>
      </c>
      <c r="C41">
        <v>8</v>
      </c>
      <c r="E41" t="s">
        <v>343</v>
      </c>
      <c r="F41" t="s">
        <v>271</v>
      </c>
      <c r="G41" t="s">
        <v>261</v>
      </c>
      <c r="H41" t="s">
        <v>306</v>
      </c>
      <c r="I41" t="s">
        <v>263</v>
      </c>
      <c r="J41">
        <v>32</v>
      </c>
    </row>
    <row r="42" spans="1:11">
      <c r="A42" t="s">
        <v>344</v>
      </c>
      <c r="B42" t="s">
        <v>259</v>
      </c>
      <c r="C42">
        <v>0</v>
      </c>
      <c r="E42" t="s">
        <v>345</v>
      </c>
      <c r="F42" t="s">
        <v>267</v>
      </c>
      <c r="G42" t="s">
        <v>261</v>
      </c>
      <c r="I42" t="s">
        <v>346</v>
      </c>
      <c r="J42">
        <v>33</v>
      </c>
      <c r="K42" t="s">
        <v>347</v>
      </c>
    </row>
    <row r="43" spans="1:11">
      <c r="A43" t="s">
        <v>348</v>
      </c>
      <c r="K43" t="s">
        <v>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3:K23"/>
  <sheetViews>
    <sheetView workbookViewId="0"/>
  </sheetViews>
  <sheetFormatPr defaultRowHeight="15"/>
  <cols>
    <col min="1" max="1" width="9.5703125" bestFit="1" customWidth="1"/>
    <col min="5" max="5" width="27.140625" bestFit="1" customWidth="1"/>
    <col min="7" max="7" width="11.28515625" bestFit="1" customWidth="1"/>
    <col min="9" max="9" width="13.140625" bestFit="1" customWidth="1"/>
    <col min="10" max="10" width="14" bestFit="1" customWidth="1"/>
    <col min="11" max="11" width="42.140625" bestFit="1" customWidth="1"/>
  </cols>
  <sheetData>
    <row r="13" spans="1:11">
      <c r="A13" s="53" t="s">
        <v>247</v>
      </c>
      <c r="B13" s="53" t="s">
        <v>248</v>
      </c>
      <c r="C13" s="53" t="s">
        <v>249</v>
      </c>
      <c r="D13" s="53" t="s">
        <v>250</v>
      </c>
      <c r="E13" s="53" t="s">
        <v>251</v>
      </c>
      <c r="F13" s="53" t="s">
        <v>252</v>
      </c>
      <c r="G13" s="53" t="s">
        <v>253</v>
      </c>
      <c r="H13" s="53" t="s">
        <v>254</v>
      </c>
      <c r="I13" s="53" t="s">
        <v>255</v>
      </c>
      <c r="J13" s="53" t="s">
        <v>256</v>
      </c>
      <c r="K13" s="53" t="s">
        <v>257</v>
      </c>
    </row>
    <row r="14" spans="1:11">
      <c r="A14" t="s">
        <v>258</v>
      </c>
      <c r="B14" t="s">
        <v>259</v>
      </c>
      <c r="C14">
        <v>19</v>
      </c>
      <c r="E14" t="s">
        <v>260</v>
      </c>
      <c r="F14" t="s">
        <v>12</v>
      </c>
      <c r="G14" t="s">
        <v>261</v>
      </c>
      <c r="H14" t="s">
        <v>262</v>
      </c>
      <c r="I14" t="s">
        <v>263</v>
      </c>
      <c r="J14">
        <v>1</v>
      </c>
      <c r="K14" t="s">
        <v>264</v>
      </c>
    </row>
    <row r="15" spans="1:11">
      <c r="A15" t="s">
        <v>350</v>
      </c>
      <c r="B15" t="s">
        <v>259</v>
      </c>
      <c r="C15">
        <v>2</v>
      </c>
      <c r="E15" t="s">
        <v>351</v>
      </c>
      <c r="F15" t="s">
        <v>271</v>
      </c>
      <c r="G15" t="s">
        <v>261</v>
      </c>
      <c r="H15" t="s">
        <v>262</v>
      </c>
      <c r="I15" t="s">
        <v>263</v>
      </c>
      <c r="J15">
        <v>2</v>
      </c>
      <c r="K15" t="s">
        <v>352</v>
      </c>
    </row>
    <row r="16" spans="1:11">
      <c r="A16" t="s">
        <v>269</v>
      </c>
      <c r="B16" t="s">
        <v>259</v>
      </c>
      <c r="C16">
        <v>33</v>
      </c>
      <c r="E16" t="s">
        <v>270</v>
      </c>
      <c r="F16" t="s">
        <v>271</v>
      </c>
      <c r="G16" t="s">
        <v>261</v>
      </c>
      <c r="H16" t="s">
        <v>262</v>
      </c>
      <c r="I16" t="s">
        <v>263</v>
      </c>
      <c r="J16">
        <v>3</v>
      </c>
      <c r="K16" t="s">
        <v>272</v>
      </c>
    </row>
    <row r="17" spans="1:11">
      <c r="A17" t="s">
        <v>353</v>
      </c>
      <c r="B17" t="s">
        <v>259</v>
      </c>
      <c r="C17">
        <v>1</v>
      </c>
      <c r="E17" t="s">
        <v>354</v>
      </c>
      <c r="F17" t="s">
        <v>267</v>
      </c>
      <c r="G17" t="s">
        <v>261</v>
      </c>
      <c r="H17" t="s">
        <v>279</v>
      </c>
      <c r="I17" t="s">
        <v>263</v>
      </c>
      <c r="J17">
        <v>4</v>
      </c>
      <c r="K17" t="s">
        <v>355</v>
      </c>
    </row>
    <row r="18" spans="1:11">
      <c r="A18" t="s">
        <v>356</v>
      </c>
      <c r="B18" t="s">
        <v>259</v>
      </c>
      <c r="C18">
        <v>1</v>
      </c>
      <c r="E18" t="s">
        <v>357</v>
      </c>
      <c r="F18" t="s">
        <v>271</v>
      </c>
      <c r="G18" t="s">
        <v>261</v>
      </c>
      <c r="H18" t="s">
        <v>279</v>
      </c>
      <c r="I18" t="s">
        <v>263</v>
      </c>
      <c r="J18">
        <v>5</v>
      </c>
    </row>
    <row r="19" spans="1:11">
      <c r="A19" t="s">
        <v>358</v>
      </c>
      <c r="B19" t="s">
        <v>259</v>
      </c>
      <c r="C19">
        <v>8</v>
      </c>
      <c r="E19" t="s">
        <v>359</v>
      </c>
      <c r="F19" t="s">
        <v>267</v>
      </c>
      <c r="G19" t="s">
        <v>261</v>
      </c>
      <c r="H19" t="s">
        <v>262</v>
      </c>
      <c r="I19" t="s">
        <v>263</v>
      </c>
      <c r="J19">
        <v>6</v>
      </c>
    </row>
    <row r="20" spans="1:11">
      <c r="A20" t="s">
        <v>360</v>
      </c>
      <c r="B20" t="s">
        <v>259</v>
      </c>
      <c r="C20">
        <v>6</v>
      </c>
      <c r="E20" t="s">
        <v>361</v>
      </c>
      <c r="F20" t="s">
        <v>267</v>
      </c>
      <c r="G20" t="s">
        <v>261</v>
      </c>
      <c r="H20" t="s">
        <v>262</v>
      </c>
      <c r="I20" t="s">
        <v>263</v>
      </c>
      <c r="J20">
        <v>7</v>
      </c>
    </row>
    <row r="21" spans="1:11">
      <c r="A21" t="s">
        <v>362</v>
      </c>
      <c r="B21" t="s">
        <v>259</v>
      </c>
      <c r="C21">
        <v>2</v>
      </c>
      <c r="E21" t="s">
        <v>363</v>
      </c>
      <c r="F21" t="s">
        <v>292</v>
      </c>
      <c r="G21" t="s">
        <v>293</v>
      </c>
      <c r="H21" t="s">
        <v>262</v>
      </c>
      <c r="I21" t="s">
        <v>263</v>
      </c>
      <c r="J21">
        <v>8</v>
      </c>
    </row>
    <row r="22" spans="1:11">
      <c r="A22" t="s">
        <v>364</v>
      </c>
      <c r="B22" t="s">
        <v>259</v>
      </c>
      <c r="C22">
        <v>9</v>
      </c>
      <c r="E22" t="s">
        <v>252</v>
      </c>
      <c r="F22" t="s">
        <v>267</v>
      </c>
      <c r="G22" t="s">
        <v>261</v>
      </c>
      <c r="H22" t="s">
        <v>262</v>
      </c>
      <c r="I22" t="s">
        <v>263</v>
      </c>
      <c r="J22">
        <v>9</v>
      </c>
    </row>
    <row r="23" spans="1:11">
      <c r="A23" t="s">
        <v>365</v>
      </c>
      <c r="B23" t="s">
        <v>259</v>
      </c>
      <c r="C23">
        <v>12</v>
      </c>
      <c r="E23" t="s">
        <v>366</v>
      </c>
      <c r="F23" t="s">
        <v>267</v>
      </c>
      <c r="G23" t="s">
        <v>261</v>
      </c>
      <c r="H23" t="s">
        <v>279</v>
      </c>
      <c r="I23" t="s">
        <v>263</v>
      </c>
      <c r="J23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CONTENT</vt:lpstr>
      <vt:lpstr>Foglio1</vt:lpstr>
      <vt:lpstr>DM</vt:lpstr>
      <vt:lpstr>SUPPDM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Beatrice Gianibbi</dc:creator>
  <cp:lastModifiedBy>Beatrice Gianibbi</cp:lastModifiedBy>
  <dcterms:created xsi:type="dcterms:W3CDTF">2025-11-07T11:57:17Z</dcterms:created>
  <dcterms:modified xsi:type="dcterms:W3CDTF">2026-08-11T10:58:28Z</dcterms:modified>
</cp:coreProperties>
</file>